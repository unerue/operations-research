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nerue\Dropbox\Papers\JRP\JRD-LinearProgramming\EXCEL\"/>
    </mc:Choice>
  </mc:AlternateContent>
  <xr:revisionPtr revIDLastSave="0" documentId="13_ncr:1_{54DD1ED9-A693-4EAF-B945-8D11242B266C}" xr6:coauthVersionLast="45" xr6:coauthVersionMax="45" xr10:uidLastSave="{00000000-0000-0000-0000-000000000000}"/>
  <bookViews>
    <workbookView xWindow="120" yWindow="1714" windowWidth="17297" windowHeight="13149" firstSheet="1" activeTab="1" xr2:uid="{00000000-000D-0000-FFFF-FFFF00000000}"/>
  </bookViews>
  <sheets>
    <sheet name="ev_HiddenInfo" sheetId="3" state="veryHidden" r:id="rId1"/>
    <sheet name="LP" sheetId="4" r:id="rId2"/>
    <sheet name="T" sheetId="1" r:id="rId3"/>
    <sheet name="난수발생" sheetId="5" r:id="rId4"/>
    <sheet name="_PalUtilTempWorksheet" sheetId="9" state="hidden" r:id="rId5"/>
  </sheets>
  <definedNames>
    <definedName name="coin_cuttype" localSheetId="1" hidden="1">1</definedName>
    <definedName name="coin_dualtol" localSheetId="1" hidden="1">0.0000001</definedName>
    <definedName name="coin_heurs" localSheetId="1" hidden="1">1</definedName>
    <definedName name="coin_integerpresolve" localSheetId="1" hidden="1">1</definedName>
    <definedName name="coin_presolve1" localSheetId="1" hidden="1">1</definedName>
    <definedName name="coin_primaltol" localSheetId="1" hidden="1">0.0000001</definedName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1" hidden="1">LP!$G$31:$Z$130</definedName>
    <definedName name="solver_adj_ob" localSheetId="1" hidden="1">1</definedName>
    <definedName name="solver_adj_ob1" localSheetId="1" hidden="1">1</definedName>
    <definedName name="solver_cha" localSheetId="1" hidden="1">0</definedName>
    <definedName name="solver_chc1" localSheetId="1" hidden="1">0</definedName>
    <definedName name="solver_chn" localSheetId="1" hidden="1">4</definedName>
    <definedName name="solver_chp1" localSheetId="1" hidden="1">0</definedName>
    <definedName name="solver_cht" localSheetId="1" hidden="1">0</definedName>
    <definedName name="solver_cir1" localSheetId="1" hidden="1">1</definedName>
    <definedName name="solver_con" localSheetId="1" hidden="1">" "</definedName>
    <definedName name="solver_con1" localSheetId="1" hidden="1">" "</definedName>
    <definedName name="solver_cvg" localSheetId="1" hidden="1">0.0001</definedName>
    <definedName name="solver_dia" localSheetId="1" hidden="1">5</definedName>
    <definedName name="solver_drv" localSheetId="1" hidden="1">2</definedName>
    <definedName name="solver_eng" localSheetId="1" hidden="1">2</definedName>
    <definedName name="solver_est" localSheetId="1" hidden="1">1</definedName>
    <definedName name="solver_glb" localSheetId="1" hidden="1">-1E+30</definedName>
    <definedName name="solver_gub" localSheetId="1" hidden="1">1E+30</definedName>
    <definedName name="solver_iao" localSheetId="1" hidden="1">0</definedName>
    <definedName name="solver_inc" localSheetId="1" hidden="1">0</definedName>
    <definedName name="solver_int" localSheetId="1" hidden="1">1</definedName>
    <definedName name="solver_irs" localSheetId="1" hidden="1">0</definedName>
    <definedName name="solver_ism" localSheetId="1" hidden="1">0</definedName>
    <definedName name="solver_itr" localSheetId="1" hidden="1">2147483647</definedName>
    <definedName name="solver_lhs_ob1" localSheetId="1" hidden="1">0</definedName>
    <definedName name="solver_lhs1" localSheetId="1" hidden="1">LP!$G$29:$Z$29</definedName>
    <definedName name="solver_lin" localSheetId="1" hidden="1">1</definedName>
    <definedName name="solver_log" localSheetId="1" hidden="1">1</definedName>
    <definedName name="solver_mda" localSheetId="1" hidden="1">4</definedName>
    <definedName name="solver_mip" localSheetId="1" hidden="1">2147483647</definedName>
    <definedName name="solver_mni" localSheetId="1" hidden="1">30</definedName>
    <definedName name="solver_mod" localSheetId="1" hidden="1">3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tr" localSheetId="1" hidden="1">2</definedName>
    <definedName name="solver_ntri" hidden="1">1000</definedName>
    <definedName name="solver_num" localSheetId="1" hidden="1">1</definedName>
    <definedName name="solver_nwt" localSheetId="1" hidden="1">1</definedName>
    <definedName name="solver_obc" localSheetId="1" hidden="1">0</definedName>
    <definedName name="solver_obp" localSheetId="1" hidden="1">0</definedName>
    <definedName name="solver_opt" localSheetId="1" hidden="1">LP!$G$14</definedName>
    <definedName name="solver_opt_ob" localSheetId="1" hidden="1">1</definedName>
    <definedName name="solver_pre" localSheetId="1" hidden="1">0.000001</definedName>
    <definedName name="solver_psi" localSheetId="1" hidden="1">0</definedName>
    <definedName name="solver_rbv" localSheetId="1" hidden="1">2</definedName>
    <definedName name="solver_rdp" localSheetId="1" hidden="1">0</definedName>
    <definedName name="solver_reco1" localSheetId="1" hidden="1">0</definedName>
    <definedName name="solver_rel1" localSheetId="1" hidden="1">2</definedName>
    <definedName name="solver_rep" localSheetId="1" hidden="1">0</definedName>
    <definedName name="solver_rhs1" localSheetId="1" hidden="1">LP!$G$24:$Z$24</definedName>
    <definedName name="solver_rlx" localSheetId="1" hidden="1">2</definedName>
    <definedName name="solver_rsd" localSheetId="1" hidden="1">0</definedName>
    <definedName name="solver_rsmp" hidden="1">2</definedName>
    <definedName name="solver_rtr" localSheetId="1" hidden="1">0</definedName>
    <definedName name="solver_rxc1" localSheetId="1" hidden="1">1</definedName>
    <definedName name="solver_rxv" localSheetId="1" hidden="1">1</definedName>
    <definedName name="solver_scl" localSheetId="1" hidden="1">2</definedName>
    <definedName name="solver_seed" hidden="1">0</definedName>
    <definedName name="solver_sel" localSheetId="1" hidden="1">1</definedName>
    <definedName name="solver_sho" localSheetId="1" hidden="1">0</definedName>
    <definedName name="solver_slv" localSheetId="1" hidden="1">0</definedName>
    <definedName name="solver_slvu" localSheetId="1" hidden="1">0</definedName>
    <definedName name="solver_ssz" localSheetId="1" hidden="1">100</definedName>
    <definedName name="solver_tim" localSheetId="1" hidden="1">2147483647</definedName>
    <definedName name="solver_tol" localSheetId="1" hidden="1">0</definedName>
    <definedName name="solver_typ" localSheetId="1" hidden="1">2</definedName>
    <definedName name="solver_ubigm" localSheetId="1" hidden="1">1000000</definedName>
    <definedName name="solver_umod" localSheetId="1" hidden="1">1</definedName>
    <definedName name="solver_urs" localSheetId="1" hidden="1">0</definedName>
    <definedName name="solver_val" localSheetId="1" hidden="1">0</definedName>
    <definedName name="solver_var" localSheetId="1" hidden="1">" "</definedName>
    <definedName name="solver_ver" localSheetId="1" hidden="1">2</definedName>
    <definedName name="solver_vir" localSheetId="1" hidden="1">1</definedName>
    <definedName name="solver_vol" localSheetId="1" hidden="1">0</definedName>
    <definedName name="solver_vst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4" l="1"/>
  <c r="H8" i="4"/>
  <c r="I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Q29" i="4" l="1"/>
  <c r="R29" i="4"/>
  <c r="S29" i="4"/>
  <c r="T29" i="4"/>
  <c r="U29" i="4"/>
  <c r="V29" i="4"/>
  <c r="W29" i="4"/>
  <c r="X29" i="4"/>
  <c r="Y29" i="4"/>
  <c r="Z29" i="4"/>
  <c r="G8" i="1" l="1"/>
  <c r="H8" i="1"/>
  <c r="I8" i="1"/>
  <c r="G9" i="1"/>
  <c r="H9" i="1"/>
  <c r="I9" i="1"/>
  <c r="J9" i="1"/>
  <c r="G9" i="4"/>
  <c r="G8" i="4"/>
  <c r="H16" i="3"/>
  <c r="C2" i="1"/>
  <c r="D2" i="1"/>
  <c r="E2" i="1"/>
  <c r="F2" i="1"/>
  <c r="G2" i="1"/>
  <c r="H2" i="1"/>
  <c r="I2" i="1"/>
  <c r="J2" i="1"/>
  <c r="K2" i="1"/>
  <c r="C3" i="1"/>
  <c r="D3" i="1"/>
  <c r="E3" i="1"/>
  <c r="F3" i="1"/>
  <c r="G3" i="1"/>
  <c r="H3" i="1"/>
  <c r="I3" i="1"/>
  <c r="J3" i="1"/>
  <c r="K3" i="1"/>
  <c r="C4" i="1"/>
  <c r="D4" i="1"/>
  <c r="E4" i="1"/>
  <c r="F4" i="1"/>
  <c r="G4" i="1"/>
  <c r="H4" i="1"/>
  <c r="I4" i="1"/>
  <c r="J4" i="1"/>
  <c r="K4" i="1"/>
  <c r="C5" i="1"/>
  <c r="D5" i="1"/>
  <c r="E5" i="1"/>
  <c r="F5" i="1"/>
  <c r="G5" i="1"/>
  <c r="H5" i="1"/>
  <c r="I5" i="1"/>
  <c r="J5" i="1"/>
  <c r="K5" i="1"/>
  <c r="C6" i="1"/>
  <c r="D6" i="1"/>
  <c r="E6" i="1"/>
  <c r="F6" i="1"/>
  <c r="G6" i="1"/>
  <c r="H6" i="1"/>
  <c r="I6" i="1"/>
  <c r="J6" i="1"/>
  <c r="K6" i="1"/>
  <c r="B3" i="1"/>
  <c r="B4" i="1"/>
  <c r="B5" i="1"/>
  <c r="B6" i="1"/>
  <c r="B2" i="1"/>
  <c r="D11" i="5"/>
  <c r="E11" i="5"/>
  <c r="F11" i="5"/>
  <c r="G11" i="5"/>
  <c r="H11" i="5"/>
  <c r="I11" i="5"/>
  <c r="J11" i="5"/>
  <c r="K11" i="5"/>
  <c r="L11" i="5"/>
  <c r="M11" i="5"/>
  <c r="E12" i="5"/>
  <c r="F12" i="5"/>
  <c r="G12" i="5"/>
  <c r="H12" i="5"/>
  <c r="I12" i="5"/>
  <c r="J12" i="5"/>
  <c r="K12" i="5"/>
  <c r="L12" i="5"/>
  <c r="M12" i="5"/>
  <c r="E13" i="5"/>
  <c r="F13" i="5"/>
  <c r="G13" i="5"/>
  <c r="H13" i="5"/>
  <c r="I13" i="5"/>
  <c r="J13" i="5"/>
  <c r="K13" i="5"/>
  <c r="L13" i="5"/>
  <c r="M13" i="5"/>
  <c r="E14" i="5"/>
  <c r="F14" i="5"/>
  <c r="G14" i="5"/>
  <c r="H14" i="5"/>
  <c r="I14" i="5"/>
  <c r="J14" i="5"/>
  <c r="K14" i="5"/>
  <c r="L14" i="5"/>
  <c r="M14" i="5"/>
  <c r="E15" i="5"/>
  <c r="F15" i="5"/>
  <c r="G15" i="5"/>
  <c r="H15" i="5"/>
  <c r="I15" i="5"/>
  <c r="J15" i="5"/>
  <c r="K15" i="5"/>
  <c r="L15" i="5"/>
  <c r="M15" i="5"/>
  <c r="D12" i="5"/>
  <c r="D13" i="5"/>
  <c r="D14" i="5"/>
  <c r="D15" i="5"/>
  <c r="L29" i="4"/>
  <c r="M29" i="4"/>
  <c r="N29" i="4"/>
  <c r="O29" i="4"/>
  <c r="H22" i="1" l="1"/>
  <c r="J8" i="1"/>
  <c r="J22" i="1" s="1"/>
  <c r="H18" i="1"/>
  <c r="I17" i="1"/>
  <c r="H10" i="1"/>
  <c r="H19" i="1"/>
  <c r="I22" i="1"/>
  <c r="I19" i="1"/>
  <c r="H28" i="1"/>
  <c r="H17" i="1"/>
  <c r="G22" i="1"/>
  <c r="G19" i="1"/>
  <c r="G17" i="1"/>
  <c r="G10" i="1"/>
  <c r="I28" i="1"/>
  <c r="I18" i="1"/>
  <c r="G18" i="1"/>
  <c r="I10" i="1"/>
  <c r="J18" i="1"/>
  <c r="G28" i="1"/>
  <c r="M22" i="5"/>
  <c r="I22" i="5"/>
  <c r="E22" i="5"/>
  <c r="J21" i="5"/>
  <c r="F21" i="5"/>
  <c r="L22" i="5"/>
  <c r="H22" i="5"/>
  <c r="M21" i="5"/>
  <c r="I21" i="5"/>
  <c r="E21" i="5"/>
  <c r="K22" i="5"/>
  <c r="G22" i="5"/>
  <c r="L21" i="5"/>
  <c r="H21" i="5"/>
  <c r="J22" i="5"/>
  <c r="F22" i="5"/>
  <c r="K21" i="5"/>
  <c r="G21" i="5"/>
  <c r="J20" i="5"/>
  <c r="F20" i="5"/>
  <c r="K19" i="5"/>
  <c r="G19" i="5"/>
  <c r="L18" i="5"/>
  <c r="H18" i="5"/>
  <c r="M20" i="5"/>
  <c r="I20" i="5"/>
  <c r="E20" i="5"/>
  <c r="J19" i="5"/>
  <c r="F19" i="5"/>
  <c r="K18" i="5"/>
  <c r="G18" i="5"/>
  <c r="L20" i="5"/>
  <c r="H20" i="5"/>
  <c r="M19" i="5"/>
  <c r="I19" i="5"/>
  <c r="E19" i="5"/>
  <c r="J18" i="5"/>
  <c r="F18" i="5"/>
  <c r="K20" i="5"/>
  <c r="G20" i="5"/>
  <c r="L19" i="5"/>
  <c r="H19" i="5"/>
  <c r="M18" i="5"/>
  <c r="I18" i="5"/>
  <c r="E18" i="5"/>
  <c r="D22" i="5"/>
  <c r="D21" i="5"/>
  <c r="D20" i="5"/>
  <c r="D19" i="5"/>
  <c r="D18" i="5"/>
  <c r="A32" i="4"/>
  <c r="B32" i="4"/>
  <c r="C32" i="4"/>
  <c r="D32" i="4"/>
  <c r="A33" i="4"/>
  <c r="B33" i="4"/>
  <c r="C33" i="4"/>
  <c r="D33" i="4"/>
  <c r="A34" i="4"/>
  <c r="B34" i="4"/>
  <c r="C34" i="4"/>
  <c r="D34" i="4"/>
  <c r="A35" i="4"/>
  <c r="B35" i="4"/>
  <c r="C35" i="4"/>
  <c r="D35" i="4"/>
  <c r="A36" i="4"/>
  <c r="B36" i="4"/>
  <c r="C36" i="4"/>
  <c r="D36" i="4"/>
  <c r="A37" i="4"/>
  <c r="B37" i="4"/>
  <c r="C37" i="4"/>
  <c r="D37" i="4"/>
  <c r="A38" i="4"/>
  <c r="B38" i="4"/>
  <c r="C38" i="4"/>
  <c r="D38" i="4"/>
  <c r="A39" i="4"/>
  <c r="B39" i="4"/>
  <c r="C39" i="4"/>
  <c r="D39" i="4"/>
  <c r="A40" i="4"/>
  <c r="B40" i="4"/>
  <c r="C40" i="4"/>
  <c r="D40" i="4"/>
  <c r="A41" i="4"/>
  <c r="B41" i="4"/>
  <c r="C41" i="4"/>
  <c r="D41" i="4"/>
  <c r="A42" i="4"/>
  <c r="B42" i="4"/>
  <c r="C42" i="4"/>
  <c r="D42" i="4"/>
  <c r="A43" i="4"/>
  <c r="B43" i="4"/>
  <c r="C43" i="4"/>
  <c r="D43" i="4"/>
  <c r="A44" i="4"/>
  <c r="B44" i="4"/>
  <c r="C44" i="4"/>
  <c r="D44" i="4"/>
  <c r="A45" i="4"/>
  <c r="B45" i="4"/>
  <c r="C45" i="4"/>
  <c r="D45" i="4"/>
  <c r="A46" i="4"/>
  <c r="B46" i="4"/>
  <c r="C46" i="4"/>
  <c r="D46" i="4"/>
  <c r="A47" i="4"/>
  <c r="B47" i="4"/>
  <c r="C47" i="4"/>
  <c r="D47" i="4"/>
  <c r="A48" i="4"/>
  <c r="B48" i="4"/>
  <c r="C48" i="4"/>
  <c r="D48" i="4"/>
  <c r="A49" i="4"/>
  <c r="B49" i="4"/>
  <c r="C49" i="4"/>
  <c r="D49" i="4"/>
  <c r="A50" i="4"/>
  <c r="B50" i="4"/>
  <c r="C50" i="4"/>
  <c r="D50" i="4"/>
  <c r="A51" i="4"/>
  <c r="B51" i="4"/>
  <c r="C51" i="4"/>
  <c r="D51" i="4"/>
  <c r="A52" i="4"/>
  <c r="B52" i="4"/>
  <c r="C52" i="4"/>
  <c r="D52" i="4"/>
  <c r="A53" i="4"/>
  <c r="B53" i="4"/>
  <c r="C53" i="4"/>
  <c r="D53" i="4"/>
  <c r="A54" i="4"/>
  <c r="B54" i="4"/>
  <c r="C54" i="4"/>
  <c r="D54" i="4"/>
  <c r="A55" i="4"/>
  <c r="B55" i="4"/>
  <c r="C55" i="4"/>
  <c r="D55" i="4"/>
  <c r="A56" i="4"/>
  <c r="B56" i="4"/>
  <c r="C56" i="4"/>
  <c r="D56" i="4"/>
  <c r="A57" i="4"/>
  <c r="B57" i="4"/>
  <c r="C57" i="4"/>
  <c r="D57" i="4"/>
  <c r="A58" i="4"/>
  <c r="B58" i="4"/>
  <c r="C58" i="4"/>
  <c r="D58" i="4"/>
  <c r="A59" i="4"/>
  <c r="B59" i="4"/>
  <c r="C59" i="4"/>
  <c r="D59" i="4"/>
  <c r="A60" i="4"/>
  <c r="B60" i="4"/>
  <c r="C60" i="4"/>
  <c r="D60" i="4"/>
  <c r="A61" i="4"/>
  <c r="B61" i="4"/>
  <c r="C61" i="4"/>
  <c r="D61" i="4"/>
  <c r="A62" i="4"/>
  <c r="B62" i="4"/>
  <c r="C62" i="4"/>
  <c r="D62" i="4"/>
  <c r="A63" i="4"/>
  <c r="B63" i="4"/>
  <c r="C63" i="4"/>
  <c r="D63" i="4"/>
  <c r="A64" i="4"/>
  <c r="B64" i="4"/>
  <c r="C64" i="4"/>
  <c r="D64" i="4"/>
  <c r="A65" i="4"/>
  <c r="B65" i="4"/>
  <c r="C65" i="4"/>
  <c r="D65" i="4"/>
  <c r="A66" i="4"/>
  <c r="B66" i="4"/>
  <c r="C66" i="4"/>
  <c r="D66" i="4"/>
  <c r="A67" i="4"/>
  <c r="B67" i="4"/>
  <c r="C67" i="4"/>
  <c r="D67" i="4"/>
  <c r="A68" i="4"/>
  <c r="B68" i="4"/>
  <c r="C68" i="4"/>
  <c r="D68" i="4"/>
  <c r="A69" i="4"/>
  <c r="B69" i="4"/>
  <c r="C69" i="4"/>
  <c r="D69" i="4"/>
  <c r="A70" i="4"/>
  <c r="B70" i="4"/>
  <c r="C70" i="4"/>
  <c r="D70" i="4"/>
  <c r="A71" i="4"/>
  <c r="B71" i="4"/>
  <c r="C71" i="4"/>
  <c r="D71" i="4"/>
  <c r="A72" i="4"/>
  <c r="B72" i="4"/>
  <c r="C72" i="4"/>
  <c r="D72" i="4"/>
  <c r="A73" i="4"/>
  <c r="B73" i="4"/>
  <c r="C73" i="4"/>
  <c r="D73" i="4"/>
  <c r="A74" i="4"/>
  <c r="B74" i="4"/>
  <c r="C74" i="4"/>
  <c r="D74" i="4"/>
  <c r="A75" i="4"/>
  <c r="B75" i="4"/>
  <c r="C75" i="4"/>
  <c r="D75" i="4"/>
  <c r="A76" i="4"/>
  <c r="B76" i="4"/>
  <c r="C76" i="4"/>
  <c r="D76" i="4"/>
  <c r="A77" i="4"/>
  <c r="B77" i="4"/>
  <c r="C77" i="4"/>
  <c r="D77" i="4"/>
  <c r="A78" i="4"/>
  <c r="B78" i="4"/>
  <c r="C78" i="4"/>
  <c r="D78" i="4"/>
  <c r="A79" i="4"/>
  <c r="B79" i="4"/>
  <c r="C79" i="4"/>
  <c r="D79" i="4"/>
  <c r="A80" i="4"/>
  <c r="B80" i="4"/>
  <c r="C80" i="4"/>
  <c r="D80" i="4"/>
  <c r="A81" i="4"/>
  <c r="B81" i="4"/>
  <c r="C81" i="4"/>
  <c r="D81" i="4"/>
  <c r="A82" i="4"/>
  <c r="B82" i="4"/>
  <c r="C82" i="4"/>
  <c r="D82" i="4"/>
  <c r="A83" i="4"/>
  <c r="B83" i="4"/>
  <c r="C83" i="4"/>
  <c r="D83" i="4"/>
  <c r="A84" i="4"/>
  <c r="B84" i="4"/>
  <c r="C84" i="4"/>
  <c r="D84" i="4"/>
  <c r="A85" i="4"/>
  <c r="B85" i="4"/>
  <c r="C85" i="4"/>
  <c r="D85" i="4"/>
  <c r="A86" i="4"/>
  <c r="B86" i="4"/>
  <c r="C86" i="4"/>
  <c r="D86" i="4"/>
  <c r="A87" i="4"/>
  <c r="B87" i="4"/>
  <c r="C87" i="4"/>
  <c r="D87" i="4"/>
  <c r="A88" i="4"/>
  <c r="B88" i="4"/>
  <c r="C88" i="4"/>
  <c r="D88" i="4"/>
  <c r="A89" i="4"/>
  <c r="B89" i="4"/>
  <c r="C89" i="4"/>
  <c r="D89" i="4"/>
  <c r="A90" i="4"/>
  <c r="B90" i="4"/>
  <c r="C90" i="4"/>
  <c r="D90" i="4"/>
  <c r="A91" i="4"/>
  <c r="B91" i="4"/>
  <c r="C91" i="4"/>
  <c r="D91" i="4"/>
  <c r="A92" i="4"/>
  <c r="B92" i="4"/>
  <c r="C92" i="4"/>
  <c r="D92" i="4"/>
  <c r="A93" i="4"/>
  <c r="B93" i="4"/>
  <c r="C93" i="4"/>
  <c r="D93" i="4"/>
  <c r="A94" i="4"/>
  <c r="B94" i="4"/>
  <c r="C94" i="4"/>
  <c r="D94" i="4"/>
  <c r="A95" i="4"/>
  <c r="B95" i="4"/>
  <c r="C95" i="4"/>
  <c r="D95" i="4"/>
  <c r="A96" i="4"/>
  <c r="B96" i="4"/>
  <c r="C96" i="4"/>
  <c r="D96" i="4"/>
  <c r="A97" i="4"/>
  <c r="B97" i="4"/>
  <c r="C97" i="4"/>
  <c r="D97" i="4"/>
  <c r="A98" i="4"/>
  <c r="B98" i="4"/>
  <c r="C98" i="4"/>
  <c r="D98" i="4"/>
  <c r="A99" i="4"/>
  <c r="B99" i="4"/>
  <c r="C99" i="4"/>
  <c r="D99" i="4"/>
  <c r="A100" i="4"/>
  <c r="B100" i="4"/>
  <c r="C100" i="4"/>
  <c r="D100" i="4"/>
  <c r="A101" i="4"/>
  <c r="B101" i="4"/>
  <c r="C101" i="4"/>
  <c r="D101" i="4"/>
  <c r="A102" i="4"/>
  <c r="B102" i="4"/>
  <c r="C102" i="4"/>
  <c r="D102" i="4"/>
  <c r="A103" i="4"/>
  <c r="B103" i="4"/>
  <c r="C103" i="4"/>
  <c r="D103" i="4"/>
  <c r="A104" i="4"/>
  <c r="B104" i="4"/>
  <c r="C104" i="4"/>
  <c r="D104" i="4"/>
  <c r="A105" i="4"/>
  <c r="B105" i="4"/>
  <c r="C105" i="4"/>
  <c r="D105" i="4"/>
  <c r="A106" i="4"/>
  <c r="B106" i="4"/>
  <c r="C106" i="4"/>
  <c r="D106" i="4"/>
  <c r="A107" i="4"/>
  <c r="B107" i="4"/>
  <c r="C107" i="4"/>
  <c r="D107" i="4"/>
  <c r="A108" i="4"/>
  <c r="B108" i="4"/>
  <c r="C108" i="4"/>
  <c r="D108" i="4"/>
  <c r="A109" i="4"/>
  <c r="B109" i="4"/>
  <c r="C109" i="4"/>
  <c r="D109" i="4"/>
  <c r="A110" i="4"/>
  <c r="B110" i="4"/>
  <c r="C110" i="4"/>
  <c r="D110" i="4"/>
  <c r="A111" i="4"/>
  <c r="B111" i="4"/>
  <c r="C111" i="4"/>
  <c r="D111" i="4"/>
  <c r="A112" i="4"/>
  <c r="B112" i="4"/>
  <c r="C112" i="4"/>
  <c r="D112" i="4"/>
  <c r="A113" i="4"/>
  <c r="B113" i="4"/>
  <c r="C113" i="4"/>
  <c r="D113" i="4"/>
  <c r="A114" i="4"/>
  <c r="B114" i="4"/>
  <c r="C114" i="4"/>
  <c r="D114" i="4"/>
  <c r="A115" i="4"/>
  <c r="B115" i="4"/>
  <c r="C115" i="4"/>
  <c r="D115" i="4"/>
  <c r="A116" i="4"/>
  <c r="B116" i="4"/>
  <c r="C116" i="4"/>
  <c r="D116" i="4"/>
  <c r="A117" i="4"/>
  <c r="B117" i="4"/>
  <c r="C117" i="4"/>
  <c r="D117" i="4"/>
  <c r="A118" i="4"/>
  <c r="B118" i="4"/>
  <c r="C118" i="4"/>
  <c r="D118" i="4"/>
  <c r="A119" i="4"/>
  <c r="B119" i="4"/>
  <c r="C119" i="4"/>
  <c r="D119" i="4"/>
  <c r="A120" i="4"/>
  <c r="B120" i="4"/>
  <c r="C120" i="4"/>
  <c r="D120" i="4"/>
  <c r="A121" i="4"/>
  <c r="B121" i="4"/>
  <c r="C121" i="4"/>
  <c r="D121" i="4"/>
  <c r="A122" i="4"/>
  <c r="B122" i="4"/>
  <c r="C122" i="4"/>
  <c r="D122" i="4"/>
  <c r="A123" i="4"/>
  <c r="B123" i="4"/>
  <c r="C123" i="4"/>
  <c r="D123" i="4"/>
  <c r="A124" i="4"/>
  <c r="B124" i="4"/>
  <c r="C124" i="4"/>
  <c r="D124" i="4"/>
  <c r="A125" i="4"/>
  <c r="B125" i="4"/>
  <c r="C125" i="4"/>
  <c r="D125" i="4"/>
  <c r="A126" i="4"/>
  <c r="B126" i="4"/>
  <c r="C126" i="4"/>
  <c r="D126" i="4"/>
  <c r="A127" i="4"/>
  <c r="B127" i="4"/>
  <c r="C127" i="4"/>
  <c r="D127" i="4"/>
  <c r="A128" i="4"/>
  <c r="B128" i="4"/>
  <c r="C128" i="4"/>
  <c r="D128" i="4"/>
  <c r="A129" i="4"/>
  <c r="B129" i="4"/>
  <c r="C129" i="4"/>
  <c r="D129" i="4"/>
  <c r="A130" i="4"/>
  <c r="B130" i="4"/>
  <c r="C130" i="4"/>
  <c r="D130" i="4"/>
  <c r="A31" i="4"/>
  <c r="B31" i="4"/>
  <c r="C31" i="4"/>
  <c r="D31" i="4"/>
  <c r="H29" i="4"/>
  <c r="I29" i="4"/>
  <c r="J29" i="4"/>
  <c r="K29" i="4"/>
  <c r="P29" i="4"/>
  <c r="G29" i="4"/>
  <c r="D8" i="1"/>
  <c r="D9" i="1"/>
  <c r="F9" i="1"/>
  <c r="B9" i="1"/>
  <c r="U25" i="4" l="1"/>
  <c r="U19" i="4" s="1"/>
  <c r="V25" i="4"/>
  <c r="V19" i="4" s="1"/>
  <c r="S25" i="4"/>
  <c r="S19" i="4" s="1"/>
  <c r="T25" i="4"/>
  <c r="T19" i="4" s="1"/>
  <c r="W25" i="4"/>
  <c r="W19" i="4" s="1"/>
  <c r="X25" i="4"/>
  <c r="X19" i="4" s="1"/>
  <c r="Q25" i="4"/>
  <c r="Q19" i="4" s="1"/>
  <c r="Y25" i="4"/>
  <c r="Y19" i="4" s="1"/>
  <c r="R25" i="4"/>
  <c r="R19" i="4" s="1"/>
  <c r="Z25" i="4"/>
  <c r="Z19" i="4" s="1"/>
  <c r="Q27" i="4"/>
  <c r="Q21" i="4" s="1"/>
  <c r="Y27" i="4"/>
  <c r="Y21" i="4" s="1"/>
  <c r="W27" i="4"/>
  <c r="W21" i="4" s="1"/>
  <c r="R27" i="4"/>
  <c r="R21" i="4" s="1"/>
  <c r="Z27" i="4"/>
  <c r="Z21" i="4" s="1"/>
  <c r="S27" i="4"/>
  <c r="S21" i="4" s="1"/>
  <c r="T27" i="4"/>
  <c r="T21" i="4" s="1"/>
  <c r="U27" i="4"/>
  <c r="U21" i="4" s="1"/>
  <c r="X27" i="4"/>
  <c r="X21" i="4" s="1"/>
  <c r="V27" i="4"/>
  <c r="V21" i="4" s="1"/>
  <c r="S26" i="4"/>
  <c r="S20" i="4" s="1"/>
  <c r="T26" i="4"/>
  <c r="T20" i="4" s="1"/>
  <c r="U26" i="4"/>
  <c r="U20" i="4" s="1"/>
  <c r="Q26" i="4"/>
  <c r="Q20" i="4" s="1"/>
  <c r="R26" i="4"/>
  <c r="R20" i="4" s="1"/>
  <c r="V26" i="4"/>
  <c r="V20" i="4" s="1"/>
  <c r="Y26" i="4"/>
  <c r="Y20" i="4" s="1"/>
  <c r="Z26" i="4"/>
  <c r="Z20" i="4" s="1"/>
  <c r="W26" i="4"/>
  <c r="W20" i="4" s="1"/>
  <c r="X26" i="4"/>
  <c r="X20" i="4" s="1"/>
  <c r="W28" i="4"/>
  <c r="W22" i="4" s="1"/>
  <c r="V28" i="4"/>
  <c r="V22" i="4" s="1"/>
  <c r="X28" i="4"/>
  <c r="X22" i="4" s="1"/>
  <c r="Q28" i="4"/>
  <c r="Q22" i="4" s="1"/>
  <c r="Y28" i="4"/>
  <c r="Y22" i="4" s="1"/>
  <c r="R28" i="4"/>
  <c r="R22" i="4" s="1"/>
  <c r="Z28" i="4"/>
  <c r="Z22" i="4" s="1"/>
  <c r="S28" i="4"/>
  <c r="S22" i="4" s="1"/>
  <c r="T28" i="4"/>
  <c r="T22" i="4" s="1"/>
  <c r="U28" i="4"/>
  <c r="U22" i="4" s="1"/>
  <c r="H20" i="1"/>
  <c r="J17" i="1"/>
  <c r="J19" i="1"/>
  <c r="J20" i="1" s="1"/>
  <c r="J28" i="1"/>
  <c r="J10" i="1"/>
  <c r="I20" i="1"/>
  <c r="G20" i="1"/>
  <c r="I28" i="4"/>
  <c r="I22" i="4" s="1"/>
  <c r="N28" i="4"/>
  <c r="N22" i="4" s="1"/>
  <c r="O28" i="4"/>
  <c r="O22" i="4" s="1"/>
  <c r="L28" i="4"/>
  <c r="L22" i="4" s="1"/>
  <c r="M28" i="4"/>
  <c r="M22" i="4" s="1"/>
  <c r="H25" i="4"/>
  <c r="H19" i="4" s="1"/>
  <c r="N25" i="4"/>
  <c r="N19" i="4" s="1"/>
  <c r="O25" i="4"/>
  <c r="O19" i="4" s="1"/>
  <c r="L25" i="4"/>
  <c r="L19" i="4" s="1"/>
  <c r="M25" i="4"/>
  <c r="M19" i="4" s="1"/>
  <c r="K26" i="4"/>
  <c r="K20" i="4" s="1"/>
  <c r="N26" i="4"/>
  <c r="N20" i="4" s="1"/>
  <c r="O26" i="4"/>
  <c r="O20" i="4" s="1"/>
  <c r="L26" i="4"/>
  <c r="L20" i="4" s="1"/>
  <c r="M26" i="4"/>
  <c r="M20" i="4" s="1"/>
  <c r="J27" i="4"/>
  <c r="J21" i="4" s="1"/>
  <c r="N27" i="4"/>
  <c r="N21" i="4" s="1"/>
  <c r="O27" i="4"/>
  <c r="O21" i="4" s="1"/>
  <c r="L27" i="4"/>
  <c r="L21" i="4" s="1"/>
  <c r="M27" i="4"/>
  <c r="M21" i="4" s="1"/>
  <c r="B18" i="1"/>
  <c r="F18" i="1"/>
  <c r="D10" i="1"/>
  <c r="D17" i="1"/>
  <c r="D18" i="1"/>
  <c r="D22" i="1"/>
  <c r="D28" i="1"/>
  <c r="D19" i="1"/>
  <c r="F8" i="1"/>
  <c r="F10" i="1" s="1"/>
  <c r="K9" i="1"/>
  <c r="C9" i="1"/>
  <c r="E8" i="1"/>
  <c r="B8" i="1"/>
  <c r="E9" i="1"/>
  <c r="K8" i="1"/>
  <c r="C8" i="1"/>
  <c r="G25" i="4"/>
  <c r="G19" i="4" s="1"/>
  <c r="P28" i="4"/>
  <c r="P22" i="4" s="1"/>
  <c r="H28" i="4"/>
  <c r="H22" i="4" s="1"/>
  <c r="I27" i="4"/>
  <c r="I21" i="4" s="1"/>
  <c r="J26" i="4"/>
  <c r="J20" i="4" s="1"/>
  <c r="K25" i="4"/>
  <c r="K19" i="4" s="1"/>
  <c r="G26" i="4"/>
  <c r="G20" i="4" s="1"/>
  <c r="K28" i="4"/>
  <c r="K22" i="4" s="1"/>
  <c r="P27" i="4"/>
  <c r="P21" i="4" s="1"/>
  <c r="H27" i="4"/>
  <c r="H21" i="4" s="1"/>
  <c r="I26" i="4"/>
  <c r="I20" i="4" s="1"/>
  <c r="J25" i="4"/>
  <c r="J19" i="4" s="1"/>
  <c r="G27" i="4"/>
  <c r="G21" i="4" s="1"/>
  <c r="J28" i="4"/>
  <c r="J22" i="4" s="1"/>
  <c r="K27" i="4"/>
  <c r="K21" i="4" s="1"/>
  <c r="P26" i="4"/>
  <c r="P20" i="4" s="1"/>
  <c r="H26" i="4"/>
  <c r="H20" i="4" s="1"/>
  <c r="I25" i="4"/>
  <c r="I19" i="4" s="1"/>
  <c r="G28" i="4"/>
  <c r="G22" i="4" s="1"/>
  <c r="P25" i="4"/>
  <c r="P19" i="4" s="1"/>
  <c r="E22" i="4" l="1"/>
  <c r="E19" i="4"/>
  <c r="E20" i="4"/>
  <c r="E21" i="4"/>
  <c r="D20" i="1"/>
  <c r="E18" i="1"/>
  <c r="E10" i="1"/>
  <c r="E17" i="1"/>
  <c r="F28" i="1"/>
  <c r="F22" i="1"/>
  <c r="F19" i="1"/>
  <c r="F20" i="1" s="1"/>
  <c r="F17" i="1"/>
  <c r="C19" i="1"/>
  <c r="C28" i="1"/>
  <c r="C22" i="1"/>
  <c r="B22" i="1"/>
  <c r="B19" i="1"/>
  <c r="B20" i="1" s="1"/>
  <c r="B28" i="1"/>
  <c r="B10" i="1"/>
  <c r="K19" i="1"/>
  <c r="K28" i="1"/>
  <c r="K22" i="1"/>
  <c r="E22" i="1"/>
  <c r="E19" i="1"/>
  <c r="E28" i="1"/>
  <c r="C18" i="1"/>
  <c r="C17" i="1"/>
  <c r="C10" i="1"/>
  <c r="K18" i="1"/>
  <c r="K17" i="1"/>
  <c r="K10" i="1"/>
  <c r="B17" i="1"/>
  <c r="G14" i="4" l="1"/>
  <c r="K20" i="1"/>
  <c r="L22" i="1"/>
  <c r="L28" i="1"/>
  <c r="L10" i="1" s="1"/>
  <c r="L18" i="1"/>
  <c r="C20" i="1"/>
  <c r="L17" i="1"/>
  <c r="E20" i="1"/>
  <c r="L20" i="1" l="1"/>
  <c r="B11" i="1" s="1"/>
  <c r="C11" i="1" l="1"/>
  <c r="G23" i="1" s="1"/>
  <c r="K23" i="1" l="1"/>
  <c r="E23" i="1"/>
  <c r="E25" i="1"/>
  <c r="C25" i="1"/>
  <c r="I24" i="1"/>
  <c r="I23" i="1"/>
  <c r="C23" i="1"/>
  <c r="H23" i="1"/>
  <c r="K25" i="1"/>
  <c r="K24" i="1"/>
  <c r="J25" i="1"/>
  <c r="D24" i="1"/>
  <c r="B23" i="1"/>
  <c r="D25" i="1"/>
  <c r="J24" i="1"/>
  <c r="G25" i="1"/>
  <c r="F24" i="1"/>
  <c r="B25" i="1"/>
  <c r="B24" i="1"/>
  <c r="D23" i="1"/>
  <c r="J23" i="1"/>
  <c r="H25" i="1"/>
  <c r="G24" i="1"/>
  <c r="F25" i="1"/>
  <c r="C24" i="1"/>
  <c r="E24" i="1"/>
  <c r="F23" i="1"/>
  <c r="I25" i="1"/>
  <c r="H24" i="1"/>
  <c r="L23" i="1" l="1"/>
  <c r="L24" i="1"/>
  <c r="L25" i="1"/>
  <c r="B1" i="3"/>
  <c r="B12" i="1" l="1"/>
</calcChain>
</file>

<file path=xl/sharedStrings.xml><?xml version="1.0" encoding="utf-8"?>
<sst xmlns="http://schemas.openxmlformats.org/spreadsheetml/2006/main" count="148" uniqueCount="117">
  <si>
    <t>Di</t>
    <phoneticPr fontId="2" type="noConversion"/>
  </si>
  <si>
    <t>si_w</t>
    <phoneticPr fontId="2" type="noConversion"/>
  </si>
  <si>
    <t>hi_w</t>
    <phoneticPr fontId="2" type="noConversion"/>
  </si>
  <si>
    <t>si_r</t>
    <phoneticPr fontId="2" type="noConversion"/>
  </si>
  <si>
    <t>hi_r</t>
    <phoneticPr fontId="2" type="noConversion"/>
  </si>
  <si>
    <t>T</t>
    <phoneticPr fontId="2" type="noConversion"/>
  </si>
  <si>
    <t>TC</t>
    <phoneticPr fontId="2" type="noConversion"/>
  </si>
  <si>
    <t>계산</t>
    <phoneticPr fontId="2" type="noConversion"/>
  </si>
  <si>
    <t>SW</t>
    <phoneticPr fontId="2" type="noConversion"/>
  </si>
  <si>
    <t>ki</t>
    <phoneticPr fontId="2" type="noConversion"/>
  </si>
  <si>
    <t>fi</t>
    <phoneticPr fontId="2" type="noConversion"/>
  </si>
  <si>
    <t>1식</t>
    <phoneticPr fontId="2" type="noConversion"/>
  </si>
  <si>
    <t>2식</t>
    <phoneticPr fontId="2" type="noConversion"/>
  </si>
  <si>
    <t>3식</t>
    <phoneticPr fontId="2" type="noConversion"/>
  </si>
  <si>
    <t>si_w/ki</t>
    <phoneticPr fontId="2" type="noConversion"/>
  </si>
  <si>
    <t>Min</t>
  </si>
  <si>
    <t>Max</t>
  </si>
  <si>
    <t>Description</t>
  </si>
  <si>
    <t>bi</t>
    <phoneticPr fontId="2" type="noConversion"/>
  </si>
  <si>
    <t>k</t>
    <phoneticPr fontId="2" type="noConversion"/>
  </si>
  <si>
    <t>f</t>
    <phoneticPr fontId="2" type="noConversion"/>
  </si>
  <si>
    <t>1/k</t>
    <phoneticPr fontId="2" type="noConversion"/>
  </si>
  <si>
    <t>(f-1)k/2f</t>
    <phoneticPr fontId="2" type="noConversion"/>
  </si>
  <si>
    <t>f/k</t>
    <phoneticPr fontId="2" type="noConversion"/>
  </si>
  <si>
    <t>k/2f</t>
    <phoneticPr fontId="2" type="noConversion"/>
  </si>
  <si>
    <t>1부분</t>
    <phoneticPr fontId="2" type="noConversion"/>
  </si>
  <si>
    <t>2부분</t>
    <phoneticPr fontId="2" type="noConversion"/>
  </si>
  <si>
    <t>3부분</t>
    <phoneticPr fontId="2" type="noConversion"/>
  </si>
  <si>
    <t>4부분</t>
    <phoneticPr fontId="2" type="noConversion"/>
  </si>
  <si>
    <t>4식</t>
    <phoneticPr fontId="2" type="noConversion"/>
  </si>
  <si>
    <t>난수발생</t>
    <phoneticPr fontId="2" type="noConversion"/>
  </si>
  <si>
    <t>1.2hw</t>
    <phoneticPr fontId="2" type="noConversion"/>
  </si>
  <si>
    <t>2.0hw</t>
    <phoneticPr fontId="2" type="noConversion"/>
  </si>
  <si>
    <t>0.1sw</t>
    <phoneticPr fontId="2" type="noConversion"/>
  </si>
  <si>
    <t>0.3sw</t>
    <phoneticPr fontId="2" type="noConversion"/>
  </si>
  <si>
    <t>UNUSED</t>
    <phoneticPr fontId="2" type="noConversion"/>
  </si>
  <si>
    <t>UNUSED</t>
    <phoneticPr fontId="2" type="noConversion"/>
  </si>
  <si>
    <t>Method + #Operators</t>
    <phoneticPr fontId="2" type="noConversion"/>
  </si>
  <si>
    <t>Mutation Rate</t>
    <phoneticPr fontId="2" type="noConversion"/>
  </si>
  <si>
    <t>Crossover Rate</t>
    <phoneticPr fontId="2" type="noConversion"/>
  </si>
  <si>
    <t>Description</t>
    <phoneticPr fontId="2" type="noConversion"/>
  </si>
  <si>
    <t># Time Blocks/All Groups Must Be Present</t>
    <phoneticPr fontId="2" type="noConversion"/>
  </si>
  <si>
    <t>Constraint Range</t>
    <phoneticPr fontId="2" type="noConversion"/>
  </si>
  <si>
    <t>#Ranges</t>
    <phoneticPr fontId="2" type="noConversion"/>
  </si>
  <si>
    <t>Adj. Range</t>
    <phoneticPr fontId="2" type="noConversion"/>
  </si>
  <si>
    <t>Min Val or Range</t>
    <phoneticPr fontId="2" type="noConversion"/>
  </si>
  <si>
    <t>Max Val Or Range</t>
    <phoneticPr fontId="2" type="noConversion"/>
  </si>
  <si>
    <t>Flags</t>
    <phoneticPr fontId="2" type="noConversion"/>
  </si>
  <si>
    <t>HARD CONSTRAINT DEV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</si>
  <si>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</si>
  <si>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</si>
  <si>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</si>
  <si>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</si>
  <si>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</si>
  <si>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</si>
  <si>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</si>
  <si>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</si>
  <si>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</si>
  <si>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</si>
  <si>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</si>
  <si>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</si>
  <si>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Formula Conversion Cell (not used in v5)</t>
    <phoneticPr fontId="2" type="noConversion"/>
  </si>
  <si>
    <t>Number Formatting Cell (introduced in v5)</t>
  </si>
  <si>
    <t>Out. Stats</t>
  </si>
  <si>
    <t>Mean</t>
  </si>
  <si>
    <t>Std. Dev.</t>
  </si>
  <si>
    <t>RISKOpt Tag</t>
    <phoneticPr fontId="2" type="noConversion"/>
  </si>
  <si>
    <t># Chromosomes</t>
    <phoneticPr fontId="2" type="noConversion"/>
  </si>
  <si>
    <t># Constraints</t>
    <phoneticPr fontId="2" type="noConversion"/>
  </si>
  <si>
    <t>Compatibility with Old Versions (4 trips pre-v5 versions)</t>
    <phoneticPr fontId="2" type="noConversion"/>
  </si>
  <si>
    <t>Creation Version</t>
  </si>
  <si>
    <t>Required Version</t>
  </si>
  <si>
    <t>Recommended Version</t>
  </si>
  <si>
    <t>Last Modified by Version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</si>
  <si>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</si>
  <si>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</si>
  <si>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  <phoneticPr fontId="2" type="noConversion"/>
  </si>
  <si>
    <t>Goal (Type, Target Value)</t>
    <phoneticPr fontId="2" type="noConversion"/>
  </si>
  <si>
    <t>Population Size</t>
    <phoneticPr fontId="2" type="noConversion"/>
  </si>
  <si>
    <t>Seed (Is Auto, Value)</t>
    <phoneticPr fontId="2" type="noConversion"/>
  </si>
  <si>
    <t>Same Seed Each Simulation</t>
    <phoneticPr fontId="2" type="noConversion"/>
  </si>
  <si>
    <t>Sampling Type</t>
    <phoneticPr fontId="2" type="noConversion"/>
  </si>
  <si>
    <t>Stop on Errors (before v5: Pause on Errors)</t>
    <phoneticPr fontId="2" type="noConversion"/>
  </si>
  <si>
    <t>Trial Count Stopping (enabled, trial count)</t>
    <phoneticPr fontId="2" type="noConversion"/>
  </si>
  <si>
    <t>Formula Stopping (enabled, formula)</t>
    <phoneticPr fontId="2" type="noConversion"/>
  </si>
  <si>
    <t>Timespan Stopping (enabled, trial count)</t>
    <phoneticPr fontId="2" type="noConversion"/>
  </si>
  <si>
    <t>Progress Stopping (enabled, trial count, max % change, change is percent)</t>
    <phoneticPr fontId="2" type="noConversion"/>
  </si>
  <si>
    <t>Sim. Stopping Mode, Tolerance</t>
    <phoneticPr fontId="2" type="noConversion"/>
  </si>
  <si>
    <t>#Iterations (Sim Stopping)</t>
    <phoneticPr fontId="2" type="noConversion"/>
  </si>
  <si>
    <t>Keep Trial-by-Trial Log (if cell has anything other than False consider True, since Evolver 4 didn't have this setting)</t>
    <phoneticPr fontId="2" type="noConversion"/>
  </si>
  <si>
    <t>Minimize Excel on Startup</t>
  </si>
  <si>
    <t>Show Excel Recalcs (replaces "Update Display" used before v5)</t>
  </si>
  <si>
    <t>Ev4/RO1: Graph Progress</t>
    <phoneticPr fontId="2" type="noConversion"/>
  </si>
  <si>
    <t>Ev4/RO1: Update Display (replaced by Show Excel Recalcs in v5)</t>
    <phoneticPr fontId="2" type="noConversion"/>
  </si>
  <si>
    <t>MACROS</t>
    <phoneticPr fontId="2" type="noConversion"/>
  </si>
  <si>
    <t>Start (enabled, macro)</t>
    <phoneticPr fontId="2" type="noConversion"/>
  </si>
  <si>
    <t>Before Recalc (enabled, macro)</t>
    <phoneticPr fontId="2" type="noConversion"/>
  </si>
  <si>
    <t>After Recalc (enabled, macro)</t>
    <phoneticPr fontId="2" type="noConversion"/>
  </si>
  <si>
    <t>After Storage (enabled, macro)</t>
    <phoneticPr fontId="2" type="noConversion"/>
  </si>
  <si>
    <t>Finish (enabled, macro)</t>
    <phoneticPr fontId="2" type="noConversion"/>
  </si>
  <si>
    <t>Macro Before Simulation (enabled, macro)</t>
    <phoneticPr fontId="2" type="noConversion"/>
  </si>
  <si>
    <t>Macro After Simulation (enabled, macro)</t>
    <phoneticPr fontId="2" type="noConversion"/>
  </si>
  <si>
    <t>DEFAULT PARENT SELECTION</t>
  </si>
  <si>
    <t>DEFAULT MUTATION</t>
  </si>
  <si>
    <t>DEFAULT CROSSOVER</t>
  </si>
  <si>
    <t>DEFAULT BACKTRACK</t>
  </si>
  <si>
    <t/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</si>
  <si>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</si>
  <si>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</si>
  <si>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</si>
  <si>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</si>
  <si>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</si>
  <si>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</si>
  <si>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</si>
  <si>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5.5.1</t>
    <phoneticPr fontId="2" type="noConversion"/>
  </si>
  <si>
    <t>RECIPE_x0001_11</t>
    <phoneticPr fontId="2" type="noConversion"/>
  </si>
  <si>
    <t>True,False,False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</si>
</sst>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.00_ "/>
    <numFmt numFmtId="177" formatCode="0.0000_ "/>
    <numFmt numFmtId="178" formatCode="#,##0_ "/>
    <numFmt numFmtId="179" formatCode="0.0000%"/>
    <numFmt numFmtId="180" formatCode="0.0000"/>
  </numFmts>
  <fonts count="6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sz val="11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5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2" borderId="1" xfId="0" applyFont="1" applyFill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2" fontId="0" fillId="0" borderId="0" xfId="0" applyNumberFormat="1">
      <alignment vertical="center"/>
    </xf>
    <xf numFmtId="179" fontId="0" fillId="0" borderId="0" xfId="1" applyNumberFormat="1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7" borderId="0" xfId="0" quotePrefix="1" applyFill="1" applyAlignment="1">
      <alignment horizontal="left" vertical="center"/>
    </xf>
    <xf numFmtId="0" fontId="0" fillId="0" borderId="0" xfId="0" quotePrefix="1" applyAlignment="1">
      <alignment horizontal="left" vertical="center"/>
    </xf>
    <xf numFmtId="180" fontId="0" fillId="0" borderId="0" xfId="0" applyNumberFormat="1">
      <alignment vertical="center"/>
    </xf>
    <xf numFmtId="176" fontId="5" fillId="6" borderId="0" xfId="0" applyNumberFormat="1" applyFont="1" applyFill="1">
      <alignment vertical="center"/>
    </xf>
    <xf numFmtId="0" fontId="0" fillId="9" borderId="0" xfId="0" applyFill="1">
      <alignment vertical="center"/>
    </xf>
    <xf numFmtId="0" fontId="3" fillId="10" borderId="1" xfId="0" applyFont="1" applyFill="1" applyBorder="1">
      <alignment vertical="center"/>
    </xf>
    <xf numFmtId="1" fontId="0" fillId="0" borderId="0" xfId="0" applyNumberFormat="1">
      <alignment vertical="center"/>
    </xf>
  </cellXfs>
  <cellStyles count="5">
    <cellStyle name="백분율" xfId="1" builtinId="5"/>
    <cellStyle name="백분율 2" xfId="4" xr:uid="{00000000-0005-0000-0000-000001000000}"/>
    <cellStyle name="표준" xfId="0" builtinId="0"/>
    <cellStyle name="표준 2" xfId="3" xr:uid="{00000000-0005-0000-0000-000003000000}"/>
    <cellStyle name="표준 3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J27"/>
  <sheetViews>
    <sheetView workbookViewId="0"/>
  </sheetViews>
  <sheetFormatPr defaultColWidth="15.796875" defaultRowHeight="14.15" x14ac:dyDescent="0.3"/>
  <cols>
    <col min="1" max="16384" width="15.796875" style="12"/>
  </cols>
  <sheetData>
    <row r="1" spans="1:62" x14ac:dyDescent="0.3">
      <c r="A1" s="12" t="s">
        <v>76</v>
      </c>
      <c r="B1" s="15" t="e">
        <f>#REF!</f>
        <v>#REF!</v>
      </c>
      <c r="C1" s="16"/>
      <c r="D1" s="16"/>
      <c r="E1" s="14"/>
      <c r="F1" s="12" t="s">
        <v>94</v>
      </c>
      <c r="I1" s="12" t="s">
        <v>69</v>
      </c>
      <c r="J1" s="14">
        <v>3</v>
      </c>
      <c r="L1" s="12" t="s">
        <v>66</v>
      </c>
      <c r="M1" s="14"/>
      <c r="O1" s="12" t="s">
        <v>63</v>
      </c>
    </row>
    <row r="2" spans="1:62" x14ac:dyDescent="0.3">
      <c r="A2" s="12" t="s">
        <v>77</v>
      </c>
      <c r="B2" s="15">
        <v>1</v>
      </c>
      <c r="C2" s="15">
        <v>0</v>
      </c>
      <c r="F2" s="12" t="s">
        <v>95</v>
      </c>
      <c r="G2" s="15" t="b">
        <v>0</v>
      </c>
      <c r="H2" s="15"/>
      <c r="I2" s="12" t="s">
        <v>61</v>
      </c>
      <c r="J2" s="14"/>
      <c r="L2" s="12" t="s">
        <v>88</v>
      </c>
      <c r="M2" s="16"/>
      <c r="O2" s="12" t="s">
        <v>64</v>
      </c>
      <c r="P2" s="14"/>
      <c r="R2" s="12" t="s">
        <v>70</v>
      </c>
      <c r="S2" s="14"/>
      <c r="U2" s="12" t="s">
        <v>74</v>
      </c>
      <c r="V2" s="14"/>
    </row>
    <row r="3" spans="1:62" x14ac:dyDescent="0.3">
      <c r="A3" s="12" t="s">
        <v>83</v>
      </c>
      <c r="B3" s="15" t="b">
        <v>0</v>
      </c>
      <c r="C3" s="15">
        <v>1000</v>
      </c>
      <c r="F3" s="12" t="s">
        <v>96</v>
      </c>
      <c r="G3" s="15" t="b">
        <v>0</v>
      </c>
      <c r="H3" s="15"/>
      <c r="I3" s="12" t="s">
        <v>62</v>
      </c>
      <c r="J3" s="14"/>
      <c r="L3" s="12" t="s">
        <v>87</v>
      </c>
      <c r="M3" s="16"/>
      <c r="N3" s="16"/>
      <c r="O3" s="12" t="s">
        <v>65</v>
      </c>
      <c r="P3" s="14"/>
      <c r="R3" s="12" t="s">
        <v>71</v>
      </c>
      <c r="S3" s="14"/>
      <c r="U3" s="12" t="s">
        <v>75</v>
      </c>
      <c r="V3" s="14"/>
    </row>
    <row r="4" spans="1:62" x14ac:dyDescent="0.3">
      <c r="A4" s="12" t="s">
        <v>85</v>
      </c>
      <c r="B4" s="15" t="b">
        <v>1</v>
      </c>
      <c r="C4" s="15">
        <v>5</v>
      </c>
      <c r="D4" s="15">
        <v>2</v>
      </c>
      <c r="F4" s="12" t="s">
        <v>97</v>
      </c>
      <c r="G4" s="15" t="b">
        <v>0</v>
      </c>
      <c r="H4" s="15"/>
      <c r="L4" s="12" t="s">
        <v>80</v>
      </c>
      <c r="M4" s="16"/>
      <c r="O4" s="12" t="s">
        <v>15</v>
      </c>
      <c r="P4" s="14"/>
      <c r="R4" s="12" t="s">
        <v>72</v>
      </c>
      <c r="S4" s="14"/>
    </row>
    <row r="5" spans="1:62" x14ac:dyDescent="0.3">
      <c r="A5" s="12" t="s">
        <v>86</v>
      </c>
      <c r="B5" s="15" t="b">
        <v>0</v>
      </c>
      <c r="C5" s="15">
        <v>100</v>
      </c>
      <c r="D5" s="15">
        <v>1</v>
      </c>
      <c r="E5" s="15" t="b">
        <v>1</v>
      </c>
      <c r="F5" s="12" t="s">
        <v>98</v>
      </c>
      <c r="G5" s="15" t="b">
        <v>0</v>
      </c>
      <c r="H5" s="15"/>
      <c r="L5" s="12" t="s">
        <v>81</v>
      </c>
      <c r="M5" s="16"/>
      <c r="O5" s="12" t="s">
        <v>16</v>
      </c>
      <c r="P5" s="14"/>
      <c r="R5" s="12" t="s">
        <v>73</v>
      </c>
      <c r="S5" s="17" t="s">
        <v>114</v>
      </c>
    </row>
    <row r="6" spans="1:62" x14ac:dyDescent="0.3">
      <c r="A6" s="12" t="s">
        <v>84</v>
      </c>
      <c r="B6" s="15" t="b">
        <v>0</v>
      </c>
      <c r="C6" s="15"/>
      <c r="F6" s="12" t="s">
        <v>99</v>
      </c>
      <c r="G6" s="15" t="b">
        <v>0</v>
      </c>
      <c r="H6" s="15"/>
      <c r="L6" s="12" t="s">
        <v>100</v>
      </c>
      <c r="M6" s="16"/>
      <c r="N6" s="16"/>
    </row>
    <row r="7" spans="1:62" x14ac:dyDescent="0.3">
      <c r="A7" s="12" t="s">
        <v>78</v>
      </c>
      <c r="B7" s="15">
        <v>100</v>
      </c>
      <c r="L7" s="12" t="s">
        <v>101</v>
      </c>
      <c r="M7" s="16"/>
      <c r="N7" s="16"/>
    </row>
    <row r="8" spans="1:62" x14ac:dyDescent="0.3">
      <c r="A8" s="12" t="s">
        <v>35</v>
      </c>
      <c r="B8" s="12" t="s">
        <v>36</v>
      </c>
      <c r="F8" s="12" t="s">
        <v>79</v>
      </c>
      <c r="G8" s="15" t="b">
        <v>1</v>
      </c>
      <c r="H8" s="15">
        <v>1</v>
      </c>
    </row>
    <row r="9" spans="1:62" x14ac:dyDescent="0.3">
      <c r="A9" s="12" t="s">
        <v>93</v>
      </c>
      <c r="B9" s="15">
        <v>2</v>
      </c>
      <c r="F9" s="12" t="s">
        <v>90</v>
      </c>
      <c r="G9" s="15" t="b">
        <v>0</v>
      </c>
    </row>
    <row r="10" spans="1:62" x14ac:dyDescent="0.3">
      <c r="A10" s="12" t="s">
        <v>82</v>
      </c>
      <c r="B10" s="15" t="b">
        <v>0</v>
      </c>
    </row>
    <row r="11" spans="1:62" x14ac:dyDescent="0.3">
      <c r="A11" s="12" t="s">
        <v>89</v>
      </c>
      <c r="B11" s="15" t="b">
        <v>0</v>
      </c>
    </row>
    <row r="12" spans="1:62" x14ac:dyDescent="0.3">
      <c r="A12" s="12" t="s">
        <v>92</v>
      </c>
      <c r="B12" s="15" t="b">
        <v>0</v>
      </c>
      <c r="F12" s="12" t="s">
        <v>91</v>
      </c>
      <c r="G12" s="15">
        <v>1</v>
      </c>
    </row>
    <row r="14" spans="1:62" ht="14.6" thickBot="1" x14ac:dyDescent="0.35">
      <c r="A14" s="12" t="s">
        <v>67</v>
      </c>
      <c r="B14" s="14">
        <v>1</v>
      </c>
      <c r="AX14" s="12" t="s">
        <v>68</v>
      </c>
      <c r="AY14" s="14">
        <v>0</v>
      </c>
    </row>
    <row r="15" spans="1:62" s="13" customFormat="1" ht="14.6" thickTop="1" x14ac:dyDescent="0.3">
      <c r="A15" s="13" t="s">
        <v>37</v>
      </c>
      <c r="B15" s="13" t="s">
        <v>38</v>
      </c>
      <c r="C15" s="13" t="s">
        <v>39</v>
      </c>
      <c r="D15" s="13" t="s">
        <v>40</v>
      </c>
      <c r="E15" s="13" t="s">
        <v>41</v>
      </c>
      <c r="F15" s="13" t="s">
        <v>42</v>
      </c>
      <c r="G15" s="13" t="s">
        <v>43</v>
      </c>
      <c r="H15" s="13" t="s">
        <v>44</v>
      </c>
      <c r="I15" s="13" t="s">
        <v>45</v>
      </c>
      <c r="J15" s="13" t="s">
        <v>46</v>
      </c>
      <c r="K15" s="13" t="s">
        <v>47</v>
      </c>
      <c r="AR15" s="13" t="s">
        <v>48</v>
      </c>
      <c r="AX15" s="13" t="s">
        <v>49</v>
      </c>
      <c r="AY15" s="13" t="s">
        <v>50</v>
      </c>
      <c r="AZ15" s="13" t="s">
        <v>51</v>
      </c>
      <c r="BA15" s="13" t="s">
        <v>17</v>
      </c>
      <c r="BB15" s="13" t="s">
        <v>52</v>
      </c>
      <c r="BC15" s="13" t="s">
        <v>53</v>
      </c>
      <c r="BD15" s="13" t="s">
        <v>54</v>
      </c>
      <c r="BE15" s="13" t="s">
        <v>55</v>
      </c>
      <c r="BF15" s="13" t="s">
        <v>56</v>
      </c>
      <c r="BG15" s="13" t="s">
        <v>57</v>
      </c>
      <c r="BH15" s="13" t="s">
        <v>58</v>
      </c>
      <c r="BI15" s="13" t="s">
        <v>59</v>
      </c>
      <c r="BJ15" s="13" t="s">
        <v>60</v>
      </c>
    </row>
    <row r="16" spans="1:62" x14ac:dyDescent="0.3">
      <c r="A16" s="12" t="s">
        <v>115</v>
      </c>
      <c r="B16" s="12">
        <v>0.1</v>
      </c>
      <c r="C16" s="12">
        <v>0.5</v>
      </c>
      <c r="D16" s="18" t="s">
        <v>106</v>
      </c>
      <c r="G16" s="12">
        <v>1</v>
      </c>
      <c r="H16" s="12" t="e">
        <f>#REF!</f>
        <v>#REF!</v>
      </c>
      <c r="I16" s="12">
        <v>1</v>
      </c>
      <c r="J16" s="12">
        <v>10</v>
      </c>
      <c r="K16" s="12" t="s">
        <v>116</v>
      </c>
    </row>
    <row r="17" spans="1:1" x14ac:dyDescent="0.3">
      <c r="A17" s="12" t="s">
        <v>102</v>
      </c>
    </row>
    <row r="18" spans="1:1" x14ac:dyDescent="0.3">
      <c r="A18" s="12" t="s">
        <v>103</v>
      </c>
    </row>
    <row r="19" spans="1:1" x14ac:dyDescent="0.3">
      <c r="A19" s="12" t="s">
        <v>104</v>
      </c>
    </row>
    <row r="20" spans="1:1" x14ac:dyDescent="0.3">
      <c r="A20" s="12" t="s">
        <v>105</v>
      </c>
    </row>
    <row r="21" spans="1:1" x14ac:dyDescent="0.3">
      <c r="A21" s="12" t="s">
        <v>107</v>
      </c>
    </row>
    <row r="22" spans="1:1" x14ac:dyDescent="0.3">
      <c r="A22" s="12" t="s">
        <v>108</v>
      </c>
    </row>
    <row r="23" spans="1:1" x14ac:dyDescent="0.3">
      <c r="A23" s="12" t="s">
        <v>109</v>
      </c>
    </row>
    <row r="24" spans="1:1" x14ac:dyDescent="0.3">
      <c r="A24" s="12" t="s">
        <v>110</v>
      </c>
    </row>
    <row r="25" spans="1:1" x14ac:dyDescent="0.3">
      <c r="A25" s="12" t="s">
        <v>111</v>
      </c>
    </row>
    <row r="26" spans="1:1" x14ac:dyDescent="0.3">
      <c r="A26" s="12" t="s">
        <v>112</v>
      </c>
    </row>
    <row r="27" spans="1:1" x14ac:dyDescent="0.3">
      <c r="A27" s="12" t="s">
        <v>113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130"/>
  <sheetViews>
    <sheetView tabSelected="1" zoomScale="55" zoomScaleNormal="55" workbookViewId="0">
      <pane xSplit="5" ySplit="14" topLeftCell="F15" activePane="bottomRight" state="frozen"/>
      <selection pane="topRight" activeCell="F1" sqref="F1"/>
      <selection pane="bottomLeft" activeCell="A15" sqref="A15"/>
      <selection pane="bottomRight" activeCell="G14" sqref="G14"/>
    </sheetView>
  </sheetViews>
  <sheetFormatPr defaultColWidth="8.796875" defaultRowHeight="14.15" x14ac:dyDescent="0.3"/>
  <cols>
    <col min="1" max="2" width="7.1328125" customWidth="1"/>
    <col min="3" max="3" width="8.46484375" customWidth="1"/>
    <col min="4" max="4" width="9.796875" customWidth="1"/>
    <col min="5" max="5" width="7.1328125" customWidth="1"/>
    <col min="7" max="7" width="12.3984375" bestFit="1" customWidth="1"/>
    <col min="8" max="26" width="8.796875" customWidth="1"/>
    <col min="27" max="27" width="4.33203125" customWidth="1"/>
  </cols>
  <sheetData>
    <row r="1" spans="3:27" x14ac:dyDescent="0.3"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2">
        <v>12</v>
      </c>
      <c r="S1" s="2">
        <v>13</v>
      </c>
      <c r="T1" s="2">
        <v>14</v>
      </c>
      <c r="U1" s="2">
        <v>15</v>
      </c>
      <c r="V1" s="2">
        <v>16</v>
      </c>
      <c r="W1" s="2">
        <v>17</v>
      </c>
      <c r="X1" s="2">
        <v>18</v>
      </c>
      <c r="Y1" s="2">
        <v>19</v>
      </c>
      <c r="Z1" s="2">
        <v>20</v>
      </c>
    </row>
    <row r="2" spans="3:27" x14ac:dyDescent="0.3">
      <c r="F2" t="s">
        <v>0</v>
      </c>
      <c r="G2" s="23">
        <v>1360</v>
      </c>
      <c r="H2" s="23">
        <v>4272</v>
      </c>
      <c r="I2" s="23">
        <v>3592</v>
      </c>
      <c r="J2" s="23">
        <v>966</v>
      </c>
      <c r="K2" s="23">
        <v>4926</v>
      </c>
      <c r="L2" s="23">
        <v>3944</v>
      </c>
      <c r="M2" s="23">
        <v>3671</v>
      </c>
      <c r="N2" s="23">
        <v>3419</v>
      </c>
      <c r="O2" s="23">
        <v>630</v>
      </c>
      <c r="P2" s="23">
        <v>2185</v>
      </c>
      <c r="Q2" s="23">
        <v>1269</v>
      </c>
      <c r="R2" s="23">
        <v>2891</v>
      </c>
      <c r="S2" s="23">
        <v>2933</v>
      </c>
      <c r="T2" s="23">
        <v>1684</v>
      </c>
      <c r="U2" s="23">
        <v>3885</v>
      </c>
      <c r="V2" s="23">
        <v>4617</v>
      </c>
      <c r="W2" s="23">
        <v>3404</v>
      </c>
      <c r="X2" s="23">
        <v>974</v>
      </c>
      <c r="Y2" s="23">
        <v>1582</v>
      </c>
      <c r="Z2" s="23">
        <v>3058</v>
      </c>
    </row>
    <row r="3" spans="3:27" x14ac:dyDescent="0.3">
      <c r="E3" s="23"/>
      <c r="F3" t="s">
        <v>1</v>
      </c>
      <c r="G3" s="23">
        <v>36</v>
      </c>
      <c r="H3" s="23">
        <v>44</v>
      </c>
      <c r="I3" s="23">
        <v>36</v>
      </c>
      <c r="J3" s="23">
        <v>48</v>
      </c>
      <c r="K3" s="23">
        <v>40</v>
      </c>
      <c r="L3" s="23">
        <v>33</v>
      </c>
      <c r="M3" s="23">
        <v>31</v>
      </c>
      <c r="N3" s="23">
        <v>35</v>
      </c>
      <c r="O3" s="23">
        <v>30</v>
      </c>
      <c r="P3" s="23">
        <v>41</v>
      </c>
      <c r="Q3" s="23">
        <v>46</v>
      </c>
      <c r="R3" s="23">
        <v>41</v>
      </c>
      <c r="S3" s="23">
        <v>49</v>
      </c>
      <c r="T3" s="23">
        <v>32</v>
      </c>
      <c r="U3" s="23">
        <v>48</v>
      </c>
      <c r="V3" s="23">
        <v>38</v>
      </c>
      <c r="W3" s="23">
        <v>47</v>
      </c>
      <c r="X3" s="23">
        <v>43</v>
      </c>
      <c r="Y3" s="23">
        <v>38</v>
      </c>
      <c r="Z3" s="23">
        <v>31</v>
      </c>
    </row>
    <row r="4" spans="3:27" x14ac:dyDescent="0.3">
      <c r="F4" t="s">
        <v>2</v>
      </c>
      <c r="G4" s="10">
        <v>1.44</v>
      </c>
      <c r="H4" s="10">
        <v>2.33</v>
      </c>
      <c r="I4" s="10">
        <v>0.89</v>
      </c>
      <c r="J4" s="10">
        <v>0.65</v>
      </c>
      <c r="K4" s="10">
        <v>2</v>
      </c>
      <c r="L4" s="10">
        <v>0.55000000000000004</v>
      </c>
      <c r="M4" s="10">
        <v>2.58</v>
      </c>
      <c r="N4" s="10">
        <v>0.95</v>
      </c>
      <c r="O4" s="10">
        <v>1.26</v>
      </c>
      <c r="P4" s="10">
        <v>1.58</v>
      </c>
      <c r="Q4" s="10">
        <v>2.0299999999999998</v>
      </c>
      <c r="R4" s="10">
        <v>1.23</v>
      </c>
      <c r="S4" s="10">
        <v>1.64</v>
      </c>
      <c r="T4" s="10">
        <v>1</v>
      </c>
      <c r="U4" s="10">
        <v>1.98</v>
      </c>
      <c r="V4" s="10">
        <v>2.02</v>
      </c>
      <c r="W4" s="10">
        <v>0.66</v>
      </c>
      <c r="X4" s="10">
        <v>2.91</v>
      </c>
      <c r="Y4" s="10">
        <v>1.26</v>
      </c>
      <c r="Z4" s="10">
        <v>2.21</v>
      </c>
    </row>
    <row r="5" spans="3:27" x14ac:dyDescent="0.3">
      <c r="C5" s="10"/>
      <c r="D5" s="10"/>
      <c r="F5" t="s">
        <v>3</v>
      </c>
      <c r="G5" s="23">
        <v>6</v>
      </c>
      <c r="H5" s="23">
        <v>11</v>
      </c>
      <c r="I5" s="23">
        <v>4</v>
      </c>
      <c r="J5" s="23">
        <v>10</v>
      </c>
      <c r="K5" s="23">
        <v>6</v>
      </c>
      <c r="L5" s="23">
        <v>5</v>
      </c>
      <c r="M5" s="23">
        <v>6</v>
      </c>
      <c r="N5" s="23">
        <v>4</v>
      </c>
      <c r="O5" s="23">
        <v>6</v>
      </c>
      <c r="P5" s="23">
        <v>4</v>
      </c>
      <c r="Q5" s="23">
        <v>6</v>
      </c>
      <c r="R5" s="23">
        <v>10</v>
      </c>
      <c r="S5" s="23">
        <v>12</v>
      </c>
      <c r="T5" s="23">
        <v>7</v>
      </c>
      <c r="U5" s="23">
        <v>10</v>
      </c>
      <c r="V5" s="23">
        <v>9</v>
      </c>
      <c r="W5" s="23">
        <v>7</v>
      </c>
      <c r="X5" s="23">
        <v>5</v>
      </c>
      <c r="Y5" s="23">
        <v>4</v>
      </c>
      <c r="Z5" s="23">
        <v>6</v>
      </c>
    </row>
    <row r="6" spans="3:27" x14ac:dyDescent="0.3">
      <c r="F6" t="s">
        <v>4</v>
      </c>
      <c r="G6" s="10">
        <v>2.82</v>
      </c>
      <c r="H6" s="10">
        <v>3.91</v>
      </c>
      <c r="I6" s="10">
        <v>1.18</v>
      </c>
      <c r="J6" s="10">
        <v>1.22</v>
      </c>
      <c r="K6" s="10">
        <v>3.54</v>
      </c>
      <c r="L6" s="10">
        <v>1.0900000000000001</v>
      </c>
      <c r="M6" s="10">
        <v>3.54</v>
      </c>
      <c r="N6" s="10">
        <v>1.29</v>
      </c>
      <c r="O6" s="10">
        <v>2.04</v>
      </c>
      <c r="P6" s="10">
        <v>2.2599999999999998</v>
      </c>
      <c r="Q6" s="10">
        <v>2.66</v>
      </c>
      <c r="R6" s="10">
        <v>1.84</v>
      </c>
      <c r="S6" s="10">
        <v>3</v>
      </c>
      <c r="T6" s="10">
        <v>1.61</v>
      </c>
      <c r="U6" s="10">
        <v>2.4500000000000002</v>
      </c>
      <c r="V6" s="10">
        <v>2.7</v>
      </c>
      <c r="W6" s="10">
        <v>1.3</v>
      </c>
      <c r="X6" s="10">
        <v>5.38</v>
      </c>
      <c r="Y6" s="10">
        <v>1.61</v>
      </c>
      <c r="Z6" s="10">
        <v>3.43</v>
      </c>
    </row>
    <row r="8" spans="3:27" x14ac:dyDescent="0.3">
      <c r="F8" s="1" t="s">
        <v>9</v>
      </c>
      <c r="G8" s="3">
        <f>SUMPRODUCT($E$31:$E$130,G$31:G$130)</f>
        <v>1</v>
      </c>
      <c r="H8" s="3">
        <f t="shared" ref="H8:Z8" si="0">SUMPRODUCT($E$31:$E$130,H$31:H$130)</f>
        <v>1</v>
      </c>
      <c r="I8" s="3">
        <f t="shared" si="0"/>
        <v>1</v>
      </c>
      <c r="J8" s="3">
        <f>SUMPRODUCT($E$31:$E$130,J$31:J$130)</f>
        <v>3</v>
      </c>
      <c r="K8" s="3">
        <f t="shared" si="0"/>
        <v>1</v>
      </c>
      <c r="L8" s="3">
        <f t="shared" si="0"/>
        <v>1</v>
      </c>
      <c r="M8" s="3">
        <f t="shared" si="0"/>
        <v>1</v>
      </c>
      <c r="N8" s="3">
        <f t="shared" si="0"/>
        <v>1</v>
      </c>
      <c r="O8" s="3">
        <f t="shared" si="0"/>
        <v>2</v>
      </c>
      <c r="P8" s="3">
        <f t="shared" si="0"/>
        <v>1</v>
      </c>
      <c r="Q8" s="3">
        <f t="shared" si="0"/>
        <v>1</v>
      </c>
      <c r="R8" s="3">
        <f t="shared" si="0"/>
        <v>1</v>
      </c>
      <c r="S8" s="3">
        <f t="shared" si="0"/>
        <v>1</v>
      </c>
      <c r="T8" s="3">
        <f t="shared" si="0"/>
        <v>1</v>
      </c>
      <c r="U8" s="3">
        <f t="shared" si="0"/>
        <v>1</v>
      </c>
      <c r="V8" s="3">
        <f t="shared" si="0"/>
        <v>1</v>
      </c>
      <c r="W8" s="3">
        <f t="shared" si="0"/>
        <v>2</v>
      </c>
      <c r="X8" s="3">
        <f t="shared" si="0"/>
        <v>1</v>
      </c>
      <c r="Y8" s="3">
        <f t="shared" si="0"/>
        <v>1</v>
      </c>
      <c r="Z8" s="3">
        <f t="shared" si="0"/>
        <v>1</v>
      </c>
    </row>
    <row r="9" spans="3:27" x14ac:dyDescent="0.3">
      <c r="F9" s="1" t="s">
        <v>10</v>
      </c>
      <c r="G9" s="22">
        <f>SUMPRODUCT($F$31:$F$130,G$31:G$130)</f>
        <v>2</v>
      </c>
      <c r="H9" s="22">
        <f t="shared" ref="H9:Z9" si="1">SUMPRODUCT($F$31:$F$130,H$31:H$130)</f>
        <v>3</v>
      </c>
      <c r="I9" s="22">
        <f t="shared" si="1"/>
        <v>2</v>
      </c>
      <c r="J9" s="22">
        <f t="shared" si="1"/>
        <v>2</v>
      </c>
      <c r="K9" s="22">
        <f t="shared" si="1"/>
        <v>4</v>
      </c>
      <c r="L9" s="22">
        <f t="shared" si="1"/>
        <v>2</v>
      </c>
      <c r="M9" s="22">
        <f t="shared" si="1"/>
        <v>2</v>
      </c>
      <c r="N9" s="22">
        <f t="shared" si="1"/>
        <v>2</v>
      </c>
      <c r="O9" s="22">
        <f t="shared" si="1"/>
        <v>2</v>
      </c>
      <c r="P9" s="22">
        <f t="shared" si="1"/>
        <v>2</v>
      </c>
      <c r="Q9" s="22">
        <f t="shared" si="1"/>
        <v>1</v>
      </c>
      <c r="R9" s="22">
        <f t="shared" si="1"/>
        <v>1</v>
      </c>
      <c r="S9" s="22">
        <f t="shared" si="1"/>
        <v>2</v>
      </c>
      <c r="T9" s="22">
        <f t="shared" si="1"/>
        <v>1</v>
      </c>
      <c r="U9" s="22">
        <f t="shared" si="1"/>
        <v>1</v>
      </c>
      <c r="V9" s="22">
        <f t="shared" si="1"/>
        <v>2</v>
      </c>
      <c r="W9" s="22">
        <f t="shared" si="1"/>
        <v>4</v>
      </c>
      <c r="X9" s="22">
        <f t="shared" si="1"/>
        <v>2</v>
      </c>
      <c r="Y9" s="22">
        <f t="shared" si="1"/>
        <v>1</v>
      </c>
      <c r="Z9" s="22">
        <f t="shared" si="1"/>
        <v>3</v>
      </c>
    </row>
    <row r="10" spans="3:27" x14ac:dyDescent="0.3">
      <c r="AA10" s="5"/>
    </row>
    <row r="11" spans="3:27" x14ac:dyDescent="0.3">
      <c r="AA11" s="5"/>
    </row>
    <row r="12" spans="3:27" x14ac:dyDescent="0.3">
      <c r="AA12" s="5"/>
    </row>
    <row r="13" spans="3:27" x14ac:dyDescent="0.3">
      <c r="E13" s="19"/>
      <c r="F13" t="s">
        <v>5</v>
      </c>
      <c r="G13">
        <v>0.141821</v>
      </c>
      <c r="H13" s="5"/>
      <c r="I13" s="5"/>
    </row>
    <row r="14" spans="3:27" x14ac:dyDescent="0.3">
      <c r="F14" t="s">
        <v>6</v>
      </c>
      <c r="G14" s="20">
        <f>(G17/$G$13)+(E19/$G$13)+(E20*$G$13)+(E21/$G$13)+(E22*$G$13)</f>
        <v>15781.704942343036</v>
      </c>
      <c r="J14" s="11"/>
    </row>
    <row r="16" spans="3:27" x14ac:dyDescent="0.3">
      <c r="F16" t="s">
        <v>7</v>
      </c>
    </row>
    <row r="17" spans="1:27" x14ac:dyDescent="0.3">
      <c r="F17" t="s">
        <v>8</v>
      </c>
      <c r="G17">
        <v>100</v>
      </c>
    </row>
    <row r="19" spans="1:27" x14ac:dyDescent="0.3">
      <c r="E19" s="4">
        <f>SUM(G19:Z19)</f>
        <v>716.5</v>
      </c>
      <c r="F19" t="s">
        <v>11</v>
      </c>
      <c r="G19" s="4">
        <f>G25*G3</f>
        <v>36</v>
      </c>
      <c r="H19" s="4">
        <f t="shared" ref="H19:K19" si="2">H25*H3</f>
        <v>44</v>
      </c>
      <c r="I19" s="4">
        <f t="shared" si="2"/>
        <v>36</v>
      </c>
      <c r="J19" s="4">
        <f t="shared" si="2"/>
        <v>16</v>
      </c>
      <c r="K19" s="4">
        <f t="shared" si="2"/>
        <v>40</v>
      </c>
      <c r="L19" s="4">
        <f t="shared" ref="L19:O19" si="3">L25*L3</f>
        <v>33</v>
      </c>
      <c r="M19" s="4">
        <f t="shared" si="3"/>
        <v>31</v>
      </c>
      <c r="N19" s="4">
        <f t="shared" si="3"/>
        <v>35</v>
      </c>
      <c r="O19" s="4">
        <f t="shared" si="3"/>
        <v>15</v>
      </c>
      <c r="P19" s="4">
        <f>P25*P3</f>
        <v>41</v>
      </c>
      <c r="Q19" s="4">
        <f>Q25*Q3</f>
        <v>46</v>
      </c>
      <c r="R19" s="4">
        <f t="shared" ref="R19:Z19" si="4">R25*R3</f>
        <v>41</v>
      </c>
      <c r="S19" s="4">
        <f t="shared" si="4"/>
        <v>49</v>
      </c>
      <c r="T19" s="4">
        <f t="shared" si="4"/>
        <v>32</v>
      </c>
      <c r="U19" s="4">
        <f t="shared" si="4"/>
        <v>48</v>
      </c>
      <c r="V19" s="4">
        <f t="shared" si="4"/>
        <v>38</v>
      </c>
      <c r="W19" s="4">
        <f t="shared" si="4"/>
        <v>23.5</v>
      </c>
      <c r="X19" s="4">
        <f t="shared" si="4"/>
        <v>43</v>
      </c>
      <c r="Y19" s="4">
        <f t="shared" si="4"/>
        <v>38</v>
      </c>
      <c r="Z19" s="4">
        <f t="shared" si="4"/>
        <v>31</v>
      </c>
      <c r="AA19" s="4"/>
    </row>
    <row r="20" spans="1:27" x14ac:dyDescent="0.3">
      <c r="E20" s="4">
        <f t="shared" ref="E20:E22" si="5">SUM(G20:Z20)</f>
        <v>21934.654166666667</v>
      </c>
      <c r="F20" t="s">
        <v>12</v>
      </c>
      <c r="G20" s="4">
        <f>G26*G2*G4</f>
        <v>489.59999999999997</v>
      </c>
      <c r="H20" s="4">
        <f t="shared" ref="H20:K20" si="6">H26*H2*H4</f>
        <v>3317.92</v>
      </c>
      <c r="I20" s="4">
        <f t="shared" si="6"/>
        <v>799.22</v>
      </c>
      <c r="J20" s="4">
        <f t="shared" si="6"/>
        <v>470.92500000000001</v>
      </c>
      <c r="K20" s="4">
        <f t="shared" si="6"/>
        <v>3694.5</v>
      </c>
      <c r="L20" s="4">
        <f t="shared" ref="L20:O20" si="7">L26*L2*L4</f>
        <v>542.30000000000007</v>
      </c>
      <c r="M20" s="4">
        <f t="shared" si="7"/>
        <v>2367.7950000000001</v>
      </c>
      <c r="N20" s="4">
        <f t="shared" si="7"/>
        <v>812.01249999999993</v>
      </c>
      <c r="O20" s="4">
        <f t="shared" si="7"/>
        <v>396.9</v>
      </c>
      <c r="P20" s="4">
        <f>P26*P2*P4</f>
        <v>863.07500000000005</v>
      </c>
      <c r="Q20" s="4">
        <f>Q26*Q2*Q4</f>
        <v>0</v>
      </c>
      <c r="R20" s="4">
        <f t="shared" ref="R20:Z20" si="8">R26*R2*R4</f>
        <v>0</v>
      </c>
      <c r="S20" s="4">
        <f t="shared" si="8"/>
        <v>1202.53</v>
      </c>
      <c r="T20" s="4">
        <f t="shared" si="8"/>
        <v>0</v>
      </c>
      <c r="U20" s="4">
        <f t="shared" si="8"/>
        <v>0</v>
      </c>
      <c r="V20" s="4">
        <f t="shared" si="8"/>
        <v>2331.585</v>
      </c>
      <c r="W20" s="4">
        <f t="shared" si="8"/>
        <v>1684.98</v>
      </c>
      <c r="X20" s="4">
        <f t="shared" si="8"/>
        <v>708.58500000000004</v>
      </c>
      <c r="Y20" s="4">
        <f t="shared" si="8"/>
        <v>0</v>
      </c>
      <c r="Z20" s="4">
        <f t="shared" si="8"/>
        <v>2252.7266666666665</v>
      </c>
      <c r="AA20" s="4"/>
    </row>
    <row r="21" spans="1:27" x14ac:dyDescent="0.3">
      <c r="E21" s="4">
        <f t="shared" si="5"/>
        <v>248.66666666666666</v>
      </c>
      <c r="F21" t="s">
        <v>13</v>
      </c>
      <c r="G21" s="4">
        <f>G27*G5</f>
        <v>12</v>
      </c>
      <c r="H21" s="4">
        <f t="shared" ref="H21:K21" si="9">H27*H5</f>
        <v>33</v>
      </c>
      <c r="I21" s="4">
        <f t="shared" si="9"/>
        <v>8</v>
      </c>
      <c r="J21" s="4">
        <f t="shared" si="9"/>
        <v>6.6666666666666661</v>
      </c>
      <c r="K21" s="4">
        <f t="shared" si="9"/>
        <v>24</v>
      </c>
      <c r="L21" s="4">
        <f t="shared" ref="L21:O21" si="10">L27*L5</f>
        <v>10</v>
      </c>
      <c r="M21" s="4">
        <f t="shared" si="10"/>
        <v>12</v>
      </c>
      <c r="N21" s="4">
        <f t="shared" si="10"/>
        <v>8</v>
      </c>
      <c r="O21" s="4">
        <f t="shared" si="10"/>
        <v>6</v>
      </c>
      <c r="P21" s="4">
        <f>P27*P5</f>
        <v>8</v>
      </c>
      <c r="Q21" s="4">
        <f>Q27*Q5</f>
        <v>6</v>
      </c>
      <c r="R21" s="4">
        <f t="shared" ref="R21:Z21" si="11">R27*R5</f>
        <v>10</v>
      </c>
      <c r="S21" s="4">
        <f t="shared" si="11"/>
        <v>24</v>
      </c>
      <c r="T21" s="4">
        <f t="shared" si="11"/>
        <v>7</v>
      </c>
      <c r="U21" s="4">
        <f t="shared" si="11"/>
        <v>10</v>
      </c>
      <c r="V21" s="4">
        <f t="shared" si="11"/>
        <v>18</v>
      </c>
      <c r="W21" s="4">
        <f t="shared" si="11"/>
        <v>14</v>
      </c>
      <c r="X21" s="4">
        <f t="shared" si="11"/>
        <v>10</v>
      </c>
      <c r="Y21" s="4">
        <f t="shared" si="11"/>
        <v>4</v>
      </c>
      <c r="Z21" s="4">
        <f t="shared" si="11"/>
        <v>18</v>
      </c>
      <c r="AA21" s="4"/>
    </row>
    <row r="22" spans="1:27" x14ac:dyDescent="0.3">
      <c r="E22" s="4">
        <f t="shared" si="5"/>
        <v>36385.789166666676</v>
      </c>
      <c r="F22" t="s">
        <v>29</v>
      </c>
      <c r="G22" s="4">
        <f>G28*G2*G6</f>
        <v>958.8</v>
      </c>
      <c r="H22" s="4">
        <f t="shared" ref="H22:K22" si="12">H28*H2*H6</f>
        <v>2783.92</v>
      </c>
      <c r="I22" s="4">
        <f t="shared" si="12"/>
        <v>1059.6399999999999</v>
      </c>
      <c r="J22" s="4">
        <f t="shared" si="12"/>
        <v>883.89</v>
      </c>
      <c r="K22" s="4">
        <f t="shared" si="12"/>
        <v>2179.7550000000001</v>
      </c>
      <c r="L22" s="4">
        <f t="shared" ref="L22:O22" si="13">L28*L2*L6</f>
        <v>1074.74</v>
      </c>
      <c r="M22" s="4">
        <f t="shared" si="13"/>
        <v>3248.835</v>
      </c>
      <c r="N22" s="4">
        <f t="shared" si="13"/>
        <v>1102.6275000000001</v>
      </c>
      <c r="O22" s="4">
        <f t="shared" si="13"/>
        <v>642.6</v>
      </c>
      <c r="P22" s="4">
        <f>P28*P2*P6</f>
        <v>1234.5249999999999</v>
      </c>
      <c r="Q22" s="4">
        <f>Q28*Q2*Q6</f>
        <v>1687.77</v>
      </c>
      <c r="R22" s="4">
        <f t="shared" ref="R22:Z22" si="14">R28*R2*R6</f>
        <v>2659.7200000000003</v>
      </c>
      <c r="S22" s="4">
        <f t="shared" si="14"/>
        <v>2199.75</v>
      </c>
      <c r="T22" s="4">
        <f t="shared" si="14"/>
        <v>1355.6200000000001</v>
      </c>
      <c r="U22" s="4">
        <f t="shared" si="14"/>
        <v>4759.125</v>
      </c>
      <c r="V22" s="4">
        <f t="shared" si="14"/>
        <v>3116.4750000000004</v>
      </c>
      <c r="W22" s="4">
        <f t="shared" si="14"/>
        <v>1106.3</v>
      </c>
      <c r="X22" s="4">
        <f t="shared" si="14"/>
        <v>1310.03</v>
      </c>
      <c r="Y22" s="4">
        <f t="shared" si="14"/>
        <v>1273.51</v>
      </c>
      <c r="Z22" s="4">
        <f t="shared" si="14"/>
        <v>1748.1566666666665</v>
      </c>
      <c r="AA22" s="4"/>
    </row>
    <row r="23" spans="1:27" x14ac:dyDescent="0.3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x14ac:dyDescent="0.3">
      <c r="G24" s="4">
        <v>1</v>
      </c>
      <c r="H24" s="4">
        <v>1</v>
      </c>
      <c r="I24" s="4">
        <v>1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1</v>
      </c>
      <c r="AA24" s="4"/>
    </row>
    <row r="25" spans="1:27" x14ac:dyDescent="0.3">
      <c r="F25" t="s">
        <v>25</v>
      </c>
      <c r="G25" s="6">
        <f t="shared" ref="G25:K25" si="15">SUMPRODUCT($D$31:$D$130,G31:G130)</f>
        <v>1</v>
      </c>
      <c r="H25" s="6">
        <f t="shared" si="15"/>
        <v>1</v>
      </c>
      <c r="I25" s="6">
        <f t="shared" si="15"/>
        <v>1</v>
      </c>
      <c r="J25" s="6">
        <f t="shared" si="15"/>
        <v>0.33333333333333331</v>
      </c>
      <c r="K25" s="6">
        <f t="shared" si="15"/>
        <v>1</v>
      </c>
      <c r="L25" s="6">
        <f t="shared" ref="L25:O25" si="16">SUMPRODUCT($D$31:$D$130,L31:L130)</f>
        <v>1</v>
      </c>
      <c r="M25" s="6">
        <f t="shared" si="16"/>
        <v>1</v>
      </c>
      <c r="N25" s="6">
        <f t="shared" si="16"/>
        <v>1</v>
      </c>
      <c r="O25" s="6">
        <f t="shared" si="16"/>
        <v>0.5</v>
      </c>
      <c r="P25" s="6">
        <f>SUMPRODUCT($D$31:$D$130,P31:P130)</f>
        <v>1</v>
      </c>
      <c r="Q25" s="6">
        <f t="shared" ref="Q25:Z25" si="17">SUMPRODUCT($D$31:$D$130,Q31:Q130)</f>
        <v>1</v>
      </c>
      <c r="R25" s="6">
        <f t="shared" si="17"/>
        <v>1</v>
      </c>
      <c r="S25" s="6">
        <f t="shared" si="17"/>
        <v>1</v>
      </c>
      <c r="T25" s="6">
        <f t="shared" si="17"/>
        <v>1</v>
      </c>
      <c r="U25" s="6">
        <f t="shared" si="17"/>
        <v>1</v>
      </c>
      <c r="V25" s="6">
        <f t="shared" si="17"/>
        <v>1</v>
      </c>
      <c r="W25" s="6">
        <f t="shared" si="17"/>
        <v>0.5</v>
      </c>
      <c r="X25" s="6">
        <f t="shared" si="17"/>
        <v>1</v>
      </c>
      <c r="Y25" s="6">
        <f t="shared" si="17"/>
        <v>1</v>
      </c>
      <c r="Z25" s="6">
        <f t="shared" si="17"/>
        <v>1</v>
      </c>
      <c r="AA25" s="6"/>
    </row>
    <row r="26" spans="1:27" x14ac:dyDescent="0.3">
      <c r="F26" t="s">
        <v>26</v>
      </c>
      <c r="G26" s="6">
        <f t="shared" ref="G26:O26" si="18">SUMPRODUCT($C$31:$C$130,G$31:G$130)</f>
        <v>0.25</v>
      </c>
      <c r="H26" s="6">
        <f t="shared" si="18"/>
        <v>0.33333333333333331</v>
      </c>
      <c r="I26" s="6">
        <f t="shared" si="18"/>
        <v>0.25</v>
      </c>
      <c r="J26" s="6">
        <f t="shared" si="18"/>
        <v>0.75</v>
      </c>
      <c r="K26" s="6">
        <f t="shared" si="18"/>
        <v>0.375</v>
      </c>
      <c r="L26" s="6">
        <f t="shared" si="18"/>
        <v>0.25</v>
      </c>
      <c r="M26" s="6">
        <f t="shared" si="18"/>
        <v>0.25</v>
      </c>
      <c r="N26" s="6">
        <f t="shared" si="18"/>
        <v>0.25</v>
      </c>
      <c r="O26" s="6">
        <f t="shared" si="18"/>
        <v>0.5</v>
      </c>
      <c r="P26" s="6">
        <f>SUMPRODUCT($C$31:$C$130,P$31:P$130)</f>
        <v>0.25</v>
      </c>
      <c r="Q26" s="6">
        <f t="shared" ref="Q26:Z26" si="19">SUMPRODUCT($C$31:$C$130,Q$31:Q$130)</f>
        <v>0</v>
      </c>
      <c r="R26" s="6">
        <f t="shared" si="19"/>
        <v>0</v>
      </c>
      <c r="S26" s="6">
        <f t="shared" si="19"/>
        <v>0.25</v>
      </c>
      <c r="T26" s="6">
        <f t="shared" si="19"/>
        <v>0</v>
      </c>
      <c r="U26" s="6">
        <f t="shared" si="19"/>
        <v>0</v>
      </c>
      <c r="V26" s="6">
        <f t="shared" si="19"/>
        <v>0.25</v>
      </c>
      <c r="W26" s="6">
        <f t="shared" si="19"/>
        <v>0.75</v>
      </c>
      <c r="X26" s="6">
        <f t="shared" si="19"/>
        <v>0.25</v>
      </c>
      <c r="Y26" s="6">
        <f t="shared" si="19"/>
        <v>0</v>
      </c>
      <c r="Z26" s="6">
        <f t="shared" si="19"/>
        <v>0.33333333333333331</v>
      </c>
      <c r="AA26" s="6"/>
    </row>
    <row r="27" spans="1:27" x14ac:dyDescent="0.3">
      <c r="F27" t="s">
        <v>27</v>
      </c>
      <c r="G27" s="6">
        <f t="shared" ref="G27:O27" si="20">SUMPRODUCT($B$31:$B$130,G$31:G$130)</f>
        <v>2</v>
      </c>
      <c r="H27" s="6">
        <f t="shared" si="20"/>
        <v>3</v>
      </c>
      <c r="I27" s="6">
        <f t="shared" si="20"/>
        <v>2</v>
      </c>
      <c r="J27" s="6">
        <f t="shared" si="20"/>
        <v>0.66666666666666663</v>
      </c>
      <c r="K27" s="6">
        <f t="shared" si="20"/>
        <v>4</v>
      </c>
      <c r="L27" s="6">
        <f t="shared" si="20"/>
        <v>2</v>
      </c>
      <c r="M27" s="6">
        <f t="shared" si="20"/>
        <v>2</v>
      </c>
      <c r="N27" s="6">
        <f t="shared" si="20"/>
        <v>2</v>
      </c>
      <c r="O27" s="6">
        <f t="shared" si="20"/>
        <v>1</v>
      </c>
      <c r="P27" s="6">
        <f>SUMPRODUCT($B$31:$B$130,P$31:P$130)</f>
        <v>2</v>
      </c>
      <c r="Q27" s="6">
        <f t="shared" ref="Q27:Z27" si="21">SUMPRODUCT($B$31:$B$130,Q$31:Q$130)</f>
        <v>1</v>
      </c>
      <c r="R27" s="6">
        <f t="shared" si="21"/>
        <v>1</v>
      </c>
      <c r="S27" s="6">
        <f t="shared" si="21"/>
        <v>2</v>
      </c>
      <c r="T27" s="6">
        <f t="shared" si="21"/>
        <v>1</v>
      </c>
      <c r="U27" s="6">
        <f t="shared" si="21"/>
        <v>1</v>
      </c>
      <c r="V27" s="6">
        <f t="shared" si="21"/>
        <v>2</v>
      </c>
      <c r="W27" s="6">
        <f t="shared" si="21"/>
        <v>2</v>
      </c>
      <c r="X27" s="6">
        <f t="shared" si="21"/>
        <v>2</v>
      </c>
      <c r="Y27" s="6">
        <f t="shared" si="21"/>
        <v>1</v>
      </c>
      <c r="Z27" s="6">
        <f t="shared" si="21"/>
        <v>3</v>
      </c>
      <c r="AA27" s="6"/>
    </row>
    <row r="28" spans="1:27" x14ac:dyDescent="0.3">
      <c r="F28" t="s">
        <v>28</v>
      </c>
      <c r="G28" s="6">
        <f t="shared" ref="G28:O28" si="22">SUMPRODUCT($A$31:$A$130,G$31:G$130)</f>
        <v>0.25</v>
      </c>
      <c r="H28" s="6">
        <f t="shared" si="22"/>
        <v>0.16666666666666666</v>
      </c>
      <c r="I28" s="6">
        <f t="shared" si="22"/>
        <v>0.25</v>
      </c>
      <c r="J28" s="6">
        <f t="shared" si="22"/>
        <v>0.75</v>
      </c>
      <c r="K28" s="6">
        <f t="shared" si="22"/>
        <v>0.125</v>
      </c>
      <c r="L28" s="6">
        <f t="shared" si="22"/>
        <v>0.25</v>
      </c>
      <c r="M28" s="6">
        <f t="shared" si="22"/>
        <v>0.25</v>
      </c>
      <c r="N28" s="6">
        <f t="shared" si="22"/>
        <v>0.25</v>
      </c>
      <c r="O28" s="6">
        <f t="shared" si="22"/>
        <v>0.5</v>
      </c>
      <c r="P28" s="6">
        <f>SUMPRODUCT($A$31:$A$130,P$31:P$130)</f>
        <v>0.25</v>
      </c>
      <c r="Q28" s="6">
        <f t="shared" ref="Q28:Z28" si="23">SUMPRODUCT($A$31:$A$130,Q$31:Q$130)</f>
        <v>0.5</v>
      </c>
      <c r="R28" s="6">
        <f t="shared" si="23"/>
        <v>0.5</v>
      </c>
      <c r="S28" s="6">
        <f t="shared" si="23"/>
        <v>0.25</v>
      </c>
      <c r="T28" s="6">
        <f t="shared" si="23"/>
        <v>0.5</v>
      </c>
      <c r="U28" s="6">
        <f t="shared" si="23"/>
        <v>0.5</v>
      </c>
      <c r="V28" s="6">
        <f t="shared" si="23"/>
        <v>0.25</v>
      </c>
      <c r="W28" s="6">
        <f t="shared" si="23"/>
        <v>0.25</v>
      </c>
      <c r="X28" s="6">
        <f t="shared" si="23"/>
        <v>0.25</v>
      </c>
      <c r="Y28" s="6">
        <f t="shared" si="23"/>
        <v>0.5</v>
      </c>
      <c r="Z28" s="6">
        <f t="shared" si="23"/>
        <v>0.16666666666666666</v>
      </c>
    </row>
    <row r="29" spans="1:27" x14ac:dyDescent="0.3">
      <c r="G29" s="8">
        <f t="shared" ref="G29:K29" si="24">SUM(G31:G130)</f>
        <v>1</v>
      </c>
      <c r="H29" s="8">
        <f t="shared" si="24"/>
        <v>1</v>
      </c>
      <c r="I29" s="8">
        <f t="shared" si="24"/>
        <v>1</v>
      </c>
      <c r="J29" s="8">
        <f t="shared" si="24"/>
        <v>1</v>
      </c>
      <c r="K29" s="8">
        <f t="shared" si="24"/>
        <v>1</v>
      </c>
      <c r="L29" s="8">
        <f t="shared" ref="L29:O29" si="25">SUM(L31:L130)</f>
        <v>1</v>
      </c>
      <c r="M29" s="8">
        <f t="shared" si="25"/>
        <v>1</v>
      </c>
      <c r="N29" s="8">
        <f t="shared" si="25"/>
        <v>1</v>
      </c>
      <c r="O29" s="8">
        <f t="shared" si="25"/>
        <v>1</v>
      </c>
      <c r="P29" s="8">
        <f>SUM(P31:P130)</f>
        <v>1</v>
      </c>
      <c r="Q29" s="8">
        <f t="shared" ref="Q29:Z29" si="26">SUM(Q31:Q130)</f>
        <v>1</v>
      </c>
      <c r="R29" s="8">
        <f t="shared" si="26"/>
        <v>1</v>
      </c>
      <c r="S29" s="8">
        <f t="shared" si="26"/>
        <v>1</v>
      </c>
      <c r="T29" s="8">
        <f t="shared" si="26"/>
        <v>1</v>
      </c>
      <c r="U29" s="8">
        <f t="shared" si="26"/>
        <v>1</v>
      </c>
      <c r="V29" s="8">
        <f t="shared" si="26"/>
        <v>1</v>
      </c>
      <c r="W29" s="8">
        <f t="shared" si="26"/>
        <v>1</v>
      </c>
      <c r="X29" s="8">
        <f t="shared" si="26"/>
        <v>1</v>
      </c>
      <c r="Y29" s="8">
        <f t="shared" si="26"/>
        <v>1</v>
      </c>
      <c r="Z29" s="8">
        <f t="shared" si="26"/>
        <v>1</v>
      </c>
    </row>
    <row r="30" spans="1:27" x14ac:dyDescent="0.3">
      <c r="A30" t="s">
        <v>24</v>
      </c>
      <c r="B30" t="s">
        <v>23</v>
      </c>
      <c r="C30" t="s">
        <v>22</v>
      </c>
      <c r="D30" t="s">
        <v>21</v>
      </c>
      <c r="E30" t="s">
        <v>19</v>
      </c>
      <c r="F30" t="s">
        <v>20</v>
      </c>
      <c r="G30">
        <v>1</v>
      </c>
      <c r="H30">
        <v>2</v>
      </c>
      <c r="I30">
        <v>3</v>
      </c>
      <c r="J30">
        <v>4</v>
      </c>
      <c r="K30">
        <v>5</v>
      </c>
      <c r="L30">
        <v>6</v>
      </c>
      <c r="M30">
        <v>7</v>
      </c>
      <c r="N30">
        <v>8</v>
      </c>
      <c r="O30">
        <v>9</v>
      </c>
      <c r="P30">
        <v>10</v>
      </c>
      <c r="Q30">
        <v>11</v>
      </c>
      <c r="R30">
        <v>12</v>
      </c>
      <c r="S30">
        <v>13</v>
      </c>
      <c r="T30">
        <v>14</v>
      </c>
      <c r="U30">
        <v>15</v>
      </c>
      <c r="V30">
        <v>16</v>
      </c>
      <c r="W30">
        <v>17</v>
      </c>
      <c r="X30">
        <v>18</v>
      </c>
      <c r="Y30">
        <v>19</v>
      </c>
      <c r="Z30">
        <v>20</v>
      </c>
    </row>
    <row r="31" spans="1:27" x14ac:dyDescent="0.3">
      <c r="A31" s="9">
        <f>E31/(2*F31)</f>
        <v>0.5</v>
      </c>
      <c r="B31" s="9">
        <f>F31/E31</f>
        <v>1</v>
      </c>
      <c r="C31" s="9">
        <f>(F31-1)*E31/(2*F31)</f>
        <v>0</v>
      </c>
      <c r="D31" s="9">
        <f>1/E31</f>
        <v>1</v>
      </c>
      <c r="E31" s="21">
        <v>1</v>
      </c>
      <c r="F31" s="21">
        <v>1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1</v>
      </c>
      <c r="R31" s="7">
        <v>1</v>
      </c>
      <c r="S31" s="7">
        <v>0</v>
      </c>
      <c r="T31" s="7">
        <v>1</v>
      </c>
      <c r="U31" s="7">
        <v>1</v>
      </c>
      <c r="V31" s="7">
        <v>0</v>
      </c>
      <c r="W31" s="7">
        <v>0</v>
      </c>
      <c r="X31" s="7">
        <v>0</v>
      </c>
      <c r="Y31" s="7">
        <v>1</v>
      </c>
      <c r="Z31" s="7">
        <v>0</v>
      </c>
    </row>
    <row r="32" spans="1:27" x14ac:dyDescent="0.3">
      <c r="A32" s="9">
        <f t="shared" ref="A32:A95" si="27">E32/(2*F32)</f>
        <v>0.25</v>
      </c>
      <c r="B32" s="9">
        <f t="shared" ref="B32:B95" si="28">F32/E32</f>
        <v>2</v>
      </c>
      <c r="C32" s="9">
        <f t="shared" ref="C32:C95" si="29">(F32-1)*E32/(2*F32)</f>
        <v>0.25</v>
      </c>
      <c r="D32" s="9">
        <f t="shared" ref="D32:D95" si="30">1/E32</f>
        <v>1</v>
      </c>
      <c r="E32">
        <v>1</v>
      </c>
      <c r="F32">
        <v>2</v>
      </c>
      <c r="G32" s="7">
        <v>1</v>
      </c>
      <c r="H32" s="7">
        <v>0</v>
      </c>
      <c r="I32" s="7">
        <v>1</v>
      </c>
      <c r="J32" s="7">
        <v>0</v>
      </c>
      <c r="K32" s="7">
        <v>0</v>
      </c>
      <c r="L32" s="7">
        <v>1</v>
      </c>
      <c r="M32" s="7">
        <v>1</v>
      </c>
      <c r="N32" s="7">
        <v>1</v>
      </c>
      <c r="O32" s="7">
        <v>0</v>
      </c>
      <c r="P32" s="7">
        <v>1</v>
      </c>
      <c r="Q32" s="7">
        <v>0</v>
      </c>
      <c r="R32" s="7">
        <v>0</v>
      </c>
      <c r="S32" s="7">
        <v>1</v>
      </c>
      <c r="T32" s="7">
        <v>0</v>
      </c>
      <c r="U32" s="7">
        <v>0</v>
      </c>
      <c r="V32" s="7">
        <v>1</v>
      </c>
      <c r="W32" s="7">
        <v>0</v>
      </c>
      <c r="X32" s="7">
        <v>1</v>
      </c>
      <c r="Y32" s="7">
        <v>0</v>
      </c>
      <c r="Z32" s="7">
        <v>0</v>
      </c>
    </row>
    <row r="33" spans="1:26" x14ac:dyDescent="0.3">
      <c r="A33" s="9">
        <f t="shared" si="27"/>
        <v>0.16666666666666666</v>
      </c>
      <c r="B33" s="9">
        <f t="shared" si="28"/>
        <v>3</v>
      </c>
      <c r="C33" s="9">
        <f t="shared" si="29"/>
        <v>0.33333333333333331</v>
      </c>
      <c r="D33" s="9">
        <f t="shared" si="30"/>
        <v>1</v>
      </c>
      <c r="E33">
        <v>1</v>
      </c>
      <c r="F33">
        <v>3</v>
      </c>
      <c r="G33" s="7">
        <v>0</v>
      </c>
      <c r="H33" s="7">
        <v>1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1</v>
      </c>
    </row>
    <row r="34" spans="1:26" x14ac:dyDescent="0.3">
      <c r="A34" s="9">
        <f t="shared" si="27"/>
        <v>0.125</v>
      </c>
      <c r="B34" s="9">
        <f t="shared" si="28"/>
        <v>4</v>
      </c>
      <c r="C34" s="9">
        <f t="shared" si="29"/>
        <v>0.375</v>
      </c>
      <c r="D34" s="9">
        <f t="shared" si="30"/>
        <v>1</v>
      </c>
      <c r="E34">
        <v>1</v>
      </c>
      <c r="F34">
        <v>4</v>
      </c>
      <c r="G34" s="7">
        <v>0</v>
      </c>
      <c r="H34" s="7">
        <v>0</v>
      </c>
      <c r="I34" s="7">
        <v>0</v>
      </c>
      <c r="J34" s="7">
        <v>0</v>
      </c>
      <c r="K34" s="7">
        <v>1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</row>
    <row r="35" spans="1:26" x14ac:dyDescent="0.3">
      <c r="A35" s="9">
        <f t="shared" si="27"/>
        <v>0.1</v>
      </c>
      <c r="B35" s="9">
        <f t="shared" si="28"/>
        <v>5</v>
      </c>
      <c r="C35" s="9">
        <f t="shared" si="29"/>
        <v>0.4</v>
      </c>
      <c r="D35" s="9">
        <f t="shared" si="30"/>
        <v>1</v>
      </c>
      <c r="E35">
        <v>1</v>
      </c>
      <c r="F35">
        <v>5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</row>
    <row r="36" spans="1:26" x14ac:dyDescent="0.3">
      <c r="A36" s="9">
        <f t="shared" si="27"/>
        <v>8.3333333333333329E-2</v>
      </c>
      <c r="B36" s="9">
        <f t="shared" si="28"/>
        <v>6</v>
      </c>
      <c r="C36" s="9">
        <f t="shared" si="29"/>
        <v>0.41666666666666669</v>
      </c>
      <c r="D36" s="9">
        <f t="shared" si="30"/>
        <v>1</v>
      </c>
      <c r="E36">
        <v>1</v>
      </c>
      <c r="F36">
        <v>6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</row>
    <row r="37" spans="1:26" x14ac:dyDescent="0.3">
      <c r="A37" s="9">
        <f t="shared" si="27"/>
        <v>7.1428571428571425E-2</v>
      </c>
      <c r="B37" s="9">
        <f t="shared" si="28"/>
        <v>7</v>
      </c>
      <c r="C37" s="9">
        <f t="shared" si="29"/>
        <v>0.42857142857142855</v>
      </c>
      <c r="D37" s="9">
        <f t="shared" si="30"/>
        <v>1</v>
      </c>
      <c r="E37">
        <v>1</v>
      </c>
      <c r="F37">
        <v>7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</row>
    <row r="38" spans="1:26" x14ac:dyDescent="0.3">
      <c r="A38" s="9">
        <f t="shared" si="27"/>
        <v>6.25E-2</v>
      </c>
      <c r="B38" s="9">
        <f t="shared" si="28"/>
        <v>8</v>
      </c>
      <c r="C38" s="9">
        <f t="shared" si="29"/>
        <v>0.4375</v>
      </c>
      <c r="D38" s="9">
        <f t="shared" si="30"/>
        <v>1</v>
      </c>
      <c r="E38">
        <v>1</v>
      </c>
      <c r="F38">
        <v>8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0</v>
      </c>
    </row>
    <row r="39" spans="1:26" x14ac:dyDescent="0.3">
      <c r="A39" s="9">
        <f t="shared" si="27"/>
        <v>5.5555555555555552E-2</v>
      </c>
      <c r="B39" s="9">
        <f t="shared" si="28"/>
        <v>9</v>
      </c>
      <c r="C39" s="9">
        <f t="shared" si="29"/>
        <v>0.44444444444444442</v>
      </c>
      <c r="D39" s="9">
        <f t="shared" si="30"/>
        <v>1</v>
      </c>
      <c r="E39">
        <v>1</v>
      </c>
      <c r="F39">
        <v>9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</row>
    <row r="40" spans="1:26" x14ac:dyDescent="0.3">
      <c r="A40" s="9">
        <f t="shared" si="27"/>
        <v>0.05</v>
      </c>
      <c r="B40" s="9">
        <f t="shared" si="28"/>
        <v>10</v>
      </c>
      <c r="C40" s="9">
        <f t="shared" si="29"/>
        <v>0.45</v>
      </c>
      <c r="D40" s="9">
        <f t="shared" si="30"/>
        <v>1</v>
      </c>
      <c r="E40">
        <v>1</v>
      </c>
      <c r="F40">
        <v>10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  <c r="Z40" s="7">
        <v>0</v>
      </c>
    </row>
    <row r="41" spans="1:26" x14ac:dyDescent="0.3">
      <c r="A41" s="9">
        <f t="shared" si="27"/>
        <v>1</v>
      </c>
      <c r="B41" s="9">
        <f t="shared" si="28"/>
        <v>0.5</v>
      </c>
      <c r="C41" s="9">
        <f t="shared" si="29"/>
        <v>0</v>
      </c>
      <c r="D41" s="9">
        <f t="shared" si="30"/>
        <v>0.5</v>
      </c>
      <c r="E41" s="21">
        <v>2</v>
      </c>
      <c r="F41" s="21">
        <v>1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</row>
    <row r="42" spans="1:26" x14ac:dyDescent="0.3">
      <c r="A42" s="9">
        <f t="shared" si="27"/>
        <v>0.5</v>
      </c>
      <c r="B42" s="9">
        <f t="shared" si="28"/>
        <v>1</v>
      </c>
      <c r="C42" s="9">
        <f t="shared" si="29"/>
        <v>0.5</v>
      </c>
      <c r="D42" s="9">
        <f t="shared" si="30"/>
        <v>0.5</v>
      </c>
      <c r="E42">
        <v>2</v>
      </c>
      <c r="F42">
        <v>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1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</row>
    <row r="43" spans="1:26" x14ac:dyDescent="0.3">
      <c r="A43" s="9">
        <f t="shared" si="27"/>
        <v>0.33333333333333331</v>
      </c>
      <c r="B43" s="9">
        <f t="shared" si="28"/>
        <v>1.5</v>
      </c>
      <c r="C43" s="9">
        <f t="shared" si="29"/>
        <v>0.66666666666666663</v>
      </c>
      <c r="D43" s="9">
        <f t="shared" si="30"/>
        <v>0.5</v>
      </c>
      <c r="E43">
        <v>2</v>
      </c>
      <c r="F43">
        <v>3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</row>
    <row r="44" spans="1:26" x14ac:dyDescent="0.3">
      <c r="A44" s="9">
        <f t="shared" si="27"/>
        <v>0.25</v>
      </c>
      <c r="B44" s="9">
        <f t="shared" si="28"/>
        <v>2</v>
      </c>
      <c r="C44" s="9">
        <f t="shared" si="29"/>
        <v>0.75</v>
      </c>
      <c r="D44" s="9">
        <f t="shared" si="30"/>
        <v>0.5</v>
      </c>
      <c r="E44">
        <v>2</v>
      </c>
      <c r="F44">
        <v>4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1</v>
      </c>
      <c r="X44" s="7">
        <v>0</v>
      </c>
      <c r="Y44" s="7">
        <v>0</v>
      </c>
      <c r="Z44" s="7">
        <v>0</v>
      </c>
    </row>
    <row r="45" spans="1:26" x14ac:dyDescent="0.3">
      <c r="A45" s="9">
        <f t="shared" si="27"/>
        <v>0.2</v>
      </c>
      <c r="B45" s="9">
        <f t="shared" si="28"/>
        <v>2.5</v>
      </c>
      <c r="C45" s="9">
        <f t="shared" si="29"/>
        <v>0.8</v>
      </c>
      <c r="D45" s="9">
        <f t="shared" si="30"/>
        <v>0.5</v>
      </c>
      <c r="E45">
        <v>2</v>
      </c>
      <c r="F45">
        <v>5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</row>
    <row r="46" spans="1:26" x14ac:dyDescent="0.3">
      <c r="A46" s="9">
        <f t="shared" si="27"/>
        <v>0.16666666666666666</v>
      </c>
      <c r="B46" s="9">
        <f t="shared" si="28"/>
        <v>3</v>
      </c>
      <c r="C46" s="9">
        <f t="shared" si="29"/>
        <v>0.83333333333333337</v>
      </c>
      <c r="D46" s="9">
        <f t="shared" si="30"/>
        <v>0.5</v>
      </c>
      <c r="E46">
        <v>2</v>
      </c>
      <c r="F46">
        <v>6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</row>
    <row r="47" spans="1:26" x14ac:dyDescent="0.3">
      <c r="A47" s="9">
        <f t="shared" si="27"/>
        <v>0.14285714285714285</v>
      </c>
      <c r="B47" s="9">
        <f t="shared" si="28"/>
        <v>3.5</v>
      </c>
      <c r="C47" s="9">
        <f t="shared" si="29"/>
        <v>0.8571428571428571</v>
      </c>
      <c r="D47" s="9">
        <f t="shared" si="30"/>
        <v>0.5</v>
      </c>
      <c r="E47">
        <v>2</v>
      </c>
      <c r="F47">
        <v>7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</row>
    <row r="48" spans="1:26" x14ac:dyDescent="0.3">
      <c r="A48" s="9">
        <f t="shared" si="27"/>
        <v>0.125</v>
      </c>
      <c r="B48" s="9">
        <f t="shared" si="28"/>
        <v>4</v>
      </c>
      <c r="C48" s="9">
        <f t="shared" si="29"/>
        <v>0.875</v>
      </c>
      <c r="D48" s="9">
        <f t="shared" si="30"/>
        <v>0.5</v>
      </c>
      <c r="E48">
        <v>2</v>
      </c>
      <c r="F48">
        <v>8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  <c r="Z48" s="7">
        <v>0</v>
      </c>
    </row>
    <row r="49" spans="1:26" x14ac:dyDescent="0.3">
      <c r="A49" s="9">
        <f t="shared" si="27"/>
        <v>0.1111111111111111</v>
      </c>
      <c r="B49" s="9">
        <f t="shared" si="28"/>
        <v>4.5</v>
      </c>
      <c r="C49" s="9">
        <f t="shared" si="29"/>
        <v>0.88888888888888884</v>
      </c>
      <c r="D49" s="9">
        <f t="shared" si="30"/>
        <v>0.5</v>
      </c>
      <c r="E49">
        <v>2</v>
      </c>
      <c r="F49">
        <v>9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</row>
    <row r="50" spans="1:26" x14ac:dyDescent="0.3">
      <c r="A50" s="9">
        <f t="shared" si="27"/>
        <v>0.1</v>
      </c>
      <c r="B50" s="9">
        <f t="shared" si="28"/>
        <v>5</v>
      </c>
      <c r="C50" s="9">
        <f t="shared" si="29"/>
        <v>0.9</v>
      </c>
      <c r="D50" s="9">
        <f t="shared" si="30"/>
        <v>0.5</v>
      </c>
      <c r="E50">
        <v>2</v>
      </c>
      <c r="F50">
        <v>10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</row>
    <row r="51" spans="1:26" x14ac:dyDescent="0.3">
      <c r="A51" s="9">
        <f t="shared" si="27"/>
        <v>1.5</v>
      </c>
      <c r="B51" s="9">
        <f t="shared" si="28"/>
        <v>0.33333333333333331</v>
      </c>
      <c r="C51" s="9">
        <f t="shared" si="29"/>
        <v>0</v>
      </c>
      <c r="D51" s="9">
        <f t="shared" si="30"/>
        <v>0.33333333333333331</v>
      </c>
      <c r="E51" s="21">
        <v>3</v>
      </c>
      <c r="F51" s="21">
        <v>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</row>
    <row r="52" spans="1:26" x14ac:dyDescent="0.3">
      <c r="A52" s="9">
        <f t="shared" si="27"/>
        <v>0.75</v>
      </c>
      <c r="B52" s="9">
        <f t="shared" si="28"/>
        <v>0.66666666666666663</v>
      </c>
      <c r="C52" s="9">
        <f t="shared" si="29"/>
        <v>0.75</v>
      </c>
      <c r="D52" s="9">
        <f t="shared" si="30"/>
        <v>0.33333333333333331</v>
      </c>
      <c r="E52">
        <v>3</v>
      </c>
      <c r="F52">
        <v>2</v>
      </c>
      <c r="G52" s="7">
        <v>0</v>
      </c>
      <c r="H52" s="7">
        <v>0</v>
      </c>
      <c r="I52" s="7">
        <v>0</v>
      </c>
      <c r="J52" s="7">
        <v>1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0</v>
      </c>
    </row>
    <row r="53" spans="1:26" x14ac:dyDescent="0.3">
      <c r="A53" s="9">
        <f t="shared" si="27"/>
        <v>0.5</v>
      </c>
      <c r="B53" s="9">
        <f t="shared" si="28"/>
        <v>1</v>
      </c>
      <c r="C53" s="9">
        <f t="shared" si="29"/>
        <v>1</v>
      </c>
      <c r="D53" s="9">
        <f t="shared" si="30"/>
        <v>0.33333333333333331</v>
      </c>
      <c r="E53">
        <v>3</v>
      </c>
      <c r="F53">
        <v>3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0</v>
      </c>
    </row>
    <row r="54" spans="1:26" x14ac:dyDescent="0.3">
      <c r="A54" s="9">
        <f t="shared" si="27"/>
        <v>0.375</v>
      </c>
      <c r="B54" s="9">
        <f t="shared" si="28"/>
        <v>1.3333333333333333</v>
      </c>
      <c r="C54" s="9">
        <f t="shared" si="29"/>
        <v>1.125</v>
      </c>
      <c r="D54" s="9">
        <f t="shared" si="30"/>
        <v>0.33333333333333331</v>
      </c>
      <c r="E54">
        <v>3</v>
      </c>
      <c r="F54">
        <v>4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</row>
    <row r="55" spans="1:26" x14ac:dyDescent="0.3">
      <c r="A55" s="9">
        <f t="shared" si="27"/>
        <v>0.3</v>
      </c>
      <c r="B55" s="9">
        <f t="shared" si="28"/>
        <v>1.6666666666666667</v>
      </c>
      <c r="C55" s="9">
        <f t="shared" si="29"/>
        <v>1.2</v>
      </c>
      <c r="D55" s="9">
        <f t="shared" si="30"/>
        <v>0.33333333333333331</v>
      </c>
      <c r="E55">
        <v>3</v>
      </c>
      <c r="F55">
        <v>5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0</v>
      </c>
      <c r="Y55" s="7">
        <v>0</v>
      </c>
      <c r="Z55" s="7">
        <v>0</v>
      </c>
    </row>
    <row r="56" spans="1:26" x14ac:dyDescent="0.3">
      <c r="A56" s="9">
        <f t="shared" si="27"/>
        <v>0.25</v>
      </c>
      <c r="B56" s="9">
        <f t="shared" si="28"/>
        <v>2</v>
      </c>
      <c r="C56" s="9">
        <f t="shared" si="29"/>
        <v>1.25</v>
      </c>
      <c r="D56" s="9">
        <f t="shared" si="30"/>
        <v>0.33333333333333331</v>
      </c>
      <c r="E56">
        <v>3</v>
      </c>
      <c r="F56">
        <v>6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</row>
    <row r="57" spans="1:26" x14ac:dyDescent="0.3">
      <c r="A57" s="9">
        <f t="shared" si="27"/>
        <v>0.21428571428571427</v>
      </c>
      <c r="B57" s="9">
        <f t="shared" si="28"/>
        <v>2.3333333333333335</v>
      </c>
      <c r="C57" s="9">
        <f t="shared" si="29"/>
        <v>1.2857142857142858</v>
      </c>
      <c r="D57" s="9">
        <f t="shared" si="30"/>
        <v>0.33333333333333331</v>
      </c>
      <c r="E57">
        <v>3</v>
      </c>
      <c r="F57">
        <v>7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</row>
    <row r="58" spans="1:26" x14ac:dyDescent="0.3">
      <c r="A58" s="9">
        <f t="shared" si="27"/>
        <v>0.1875</v>
      </c>
      <c r="B58" s="9">
        <f t="shared" si="28"/>
        <v>2.6666666666666665</v>
      </c>
      <c r="C58" s="9">
        <f t="shared" si="29"/>
        <v>1.3125</v>
      </c>
      <c r="D58" s="9">
        <f t="shared" si="30"/>
        <v>0.33333333333333331</v>
      </c>
      <c r="E58">
        <v>3</v>
      </c>
      <c r="F58">
        <v>8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7">
        <v>0</v>
      </c>
      <c r="Y58" s="7">
        <v>0</v>
      </c>
      <c r="Z58" s="7">
        <v>0</v>
      </c>
    </row>
    <row r="59" spans="1:26" x14ac:dyDescent="0.3">
      <c r="A59" s="9">
        <f t="shared" si="27"/>
        <v>0.16666666666666666</v>
      </c>
      <c r="B59" s="9">
        <f t="shared" si="28"/>
        <v>3</v>
      </c>
      <c r="C59" s="9">
        <f t="shared" si="29"/>
        <v>1.3333333333333333</v>
      </c>
      <c r="D59" s="9">
        <f t="shared" si="30"/>
        <v>0.33333333333333331</v>
      </c>
      <c r="E59">
        <v>3</v>
      </c>
      <c r="F59">
        <v>9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7">
        <v>0</v>
      </c>
      <c r="Z59" s="7">
        <v>0</v>
      </c>
    </row>
    <row r="60" spans="1:26" x14ac:dyDescent="0.3">
      <c r="A60" s="9">
        <f t="shared" si="27"/>
        <v>0.15</v>
      </c>
      <c r="B60" s="9">
        <f t="shared" si="28"/>
        <v>3.3333333333333335</v>
      </c>
      <c r="C60" s="9">
        <f t="shared" si="29"/>
        <v>1.35</v>
      </c>
      <c r="D60" s="9">
        <f t="shared" si="30"/>
        <v>0.33333333333333331</v>
      </c>
      <c r="E60">
        <v>3</v>
      </c>
      <c r="F60">
        <v>10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0</v>
      </c>
      <c r="Z60" s="7">
        <v>0</v>
      </c>
    </row>
    <row r="61" spans="1:26" x14ac:dyDescent="0.3">
      <c r="A61" s="9">
        <f t="shared" si="27"/>
        <v>2</v>
      </c>
      <c r="B61" s="9">
        <f t="shared" si="28"/>
        <v>0.25</v>
      </c>
      <c r="C61" s="9">
        <f t="shared" si="29"/>
        <v>0</v>
      </c>
      <c r="D61" s="9">
        <f t="shared" si="30"/>
        <v>0.25</v>
      </c>
      <c r="E61" s="21">
        <v>4</v>
      </c>
      <c r="F61" s="21">
        <v>1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</row>
    <row r="62" spans="1:26" x14ac:dyDescent="0.3">
      <c r="A62" s="9">
        <f t="shared" si="27"/>
        <v>1</v>
      </c>
      <c r="B62" s="9">
        <f t="shared" si="28"/>
        <v>0.5</v>
      </c>
      <c r="C62" s="9">
        <f t="shared" si="29"/>
        <v>1</v>
      </c>
      <c r="D62" s="9">
        <f t="shared" si="30"/>
        <v>0.25</v>
      </c>
      <c r="E62">
        <v>4</v>
      </c>
      <c r="F62">
        <v>2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</row>
    <row r="63" spans="1:26" x14ac:dyDescent="0.3">
      <c r="A63" s="9">
        <f t="shared" si="27"/>
        <v>0.66666666666666663</v>
      </c>
      <c r="B63" s="9">
        <f t="shared" si="28"/>
        <v>0.75</v>
      </c>
      <c r="C63" s="9">
        <f t="shared" si="29"/>
        <v>1.3333333333333333</v>
      </c>
      <c r="D63" s="9">
        <f t="shared" si="30"/>
        <v>0.25</v>
      </c>
      <c r="E63">
        <v>4</v>
      </c>
      <c r="F63">
        <v>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</row>
    <row r="64" spans="1:26" x14ac:dyDescent="0.3">
      <c r="A64" s="9">
        <f t="shared" si="27"/>
        <v>0.5</v>
      </c>
      <c r="B64" s="9">
        <f t="shared" si="28"/>
        <v>1</v>
      </c>
      <c r="C64" s="9">
        <f t="shared" si="29"/>
        <v>1.5</v>
      </c>
      <c r="D64" s="9">
        <f t="shared" si="30"/>
        <v>0.25</v>
      </c>
      <c r="E64">
        <v>4</v>
      </c>
      <c r="F64">
        <v>4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</row>
    <row r="65" spans="1:26" x14ac:dyDescent="0.3">
      <c r="A65" s="9">
        <f t="shared" si="27"/>
        <v>0.4</v>
      </c>
      <c r="B65" s="9">
        <f t="shared" si="28"/>
        <v>1.25</v>
      </c>
      <c r="C65" s="9">
        <f t="shared" si="29"/>
        <v>1.6</v>
      </c>
      <c r="D65" s="9">
        <f t="shared" si="30"/>
        <v>0.25</v>
      </c>
      <c r="E65">
        <v>4</v>
      </c>
      <c r="F65">
        <v>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</row>
    <row r="66" spans="1:26" x14ac:dyDescent="0.3">
      <c r="A66" s="9">
        <f t="shared" si="27"/>
        <v>0.33333333333333331</v>
      </c>
      <c r="B66" s="9">
        <f t="shared" si="28"/>
        <v>1.5</v>
      </c>
      <c r="C66" s="9">
        <f t="shared" si="29"/>
        <v>1.6666666666666667</v>
      </c>
      <c r="D66" s="9">
        <f t="shared" si="30"/>
        <v>0.25</v>
      </c>
      <c r="E66">
        <v>4</v>
      </c>
      <c r="F66">
        <v>6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</row>
    <row r="67" spans="1:26" x14ac:dyDescent="0.3">
      <c r="A67" s="9">
        <f t="shared" si="27"/>
        <v>0.2857142857142857</v>
      </c>
      <c r="B67" s="9">
        <f t="shared" si="28"/>
        <v>1.75</v>
      </c>
      <c r="C67" s="9">
        <f t="shared" si="29"/>
        <v>1.7142857142857142</v>
      </c>
      <c r="D67" s="9">
        <f t="shared" si="30"/>
        <v>0.25</v>
      </c>
      <c r="E67">
        <v>4</v>
      </c>
      <c r="F67">
        <v>7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</row>
    <row r="68" spans="1:26" x14ac:dyDescent="0.3">
      <c r="A68" s="9">
        <f t="shared" si="27"/>
        <v>0.25</v>
      </c>
      <c r="B68" s="9">
        <f t="shared" si="28"/>
        <v>2</v>
      </c>
      <c r="C68" s="9">
        <f t="shared" si="29"/>
        <v>1.75</v>
      </c>
      <c r="D68" s="9">
        <f t="shared" si="30"/>
        <v>0.25</v>
      </c>
      <c r="E68">
        <v>4</v>
      </c>
      <c r="F68">
        <v>8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</row>
    <row r="69" spans="1:26" x14ac:dyDescent="0.3">
      <c r="A69" s="9">
        <f t="shared" si="27"/>
        <v>0.22222222222222221</v>
      </c>
      <c r="B69" s="9">
        <f t="shared" si="28"/>
        <v>2.25</v>
      </c>
      <c r="C69" s="9">
        <f t="shared" si="29"/>
        <v>1.7777777777777777</v>
      </c>
      <c r="D69" s="9">
        <f t="shared" si="30"/>
        <v>0.25</v>
      </c>
      <c r="E69">
        <v>4</v>
      </c>
      <c r="F69">
        <v>9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</row>
    <row r="70" spans="1:26" x14ac:dyDescent="0.3">
      <c r="A70" s="9">
        <f t="shared" si="27"/>
        <v>0.2</v>
      </c>
      <c r="B70" s="9">
        <f t="shared" si="28"/>
        <v>2.5</v>
      </c>
      <c r="C70" s="9">
        <f t="shared" si="29"/>
        <v>1.8</v>
      </c>
      <c r="D70" s="9">
        <f t="shared" si="30"/>
        <v>0.25</v>
      </c>
      <c r="E70">
        <v>4</v>
      </c>
      <c r="F70">
        <v>10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</row>
    <row r="71" spans="1:26" x14ac:dyDescent="0.3">
      <c r="A71" s="9">
        <f t="shared" si="27"/>
        <v>2.5</v>
      </c>
      <c r="B71" s="9">
        <f t="shared" si="28"/>
        <v>0.2</v>
      </c>
      <c r="C71" s="9">
        <f t="shared" si="29"/>
        <v>0</v>
      </c>
      <c r="D71" s="9">
        <f t="shared" si="30"/>
        <v>0.2</v>
      </c>
      <c r="E71" s="21">
        <v>5</v>
      </c>
      <c r="F71" s="21">
        <v>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</row>
    <row r="72" spans="1:26" x14ac:dyDescent="0.3">
      <c r="A72" s="9">
        <f t="shared" si="27"/>
        <v>1.25</v>
      </c>
      <c r="B72" s="9">
        <f t="shared" si="28"/>
        <v>0.4</v>
      </c>
      <c r="C72" s="9">
        <f t="shared" si="29"/>
        <v>1.25</v>
      </c>
      <c r="D72" s="9">
        <f t="shared" si="30"/>
        <v>0.2</v>
      </c>
      <c r="E72">
        <v>5</v>
      </c>
      <c r="F72">
        <v>2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</row>
    <row r="73" spans="1:26" x14ac:dyDescent="0.3">
      <c r="A73" s="9">
        <f t="shared" si="27"/>
        <v>0.83333333333333337</v>
      </c>
      <c r="B73" s="9">
        <f t="shared" si="28"/>
        <v>0.6</v>
      </c>
      <c r="C73" s="9">
        <f t="shared" si="29"/>
        <v>1.6666666666666667</v>
      </c>
      <c r="D73" s="9">
        <f t="shared" si="30"/>
        <v>0.2</v>
      </c>
      <c r="E73">
        <v>5</v>
      </c>
      <c r="F73">
        <v>3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0</v>
      </c>
      <c r="Z73" s="7">
        <v>0</v>
      </c>
    </row>
    <row r="74" spans="1:26" x14ac:dyDescent="0.3">
      <c r="A74" s="9">
        <f t="shared" si="27"/>
        <v>0.625</v>
      </c>
      <c r="B74" s="9">
        <f t="shared" si="28"/>
        <v>0.8</v>
      </c>
      <c r="C74" s="9">
        <f t="shared" si="29"/>
        <v>1.875</v>
      </c>
      <c r="D74" s="9">
        <f t="shared" si="30"/>
        <v>0.2</v>
      </c>
      <c r="E74">
        <v>5</v>
      </c>
      <c r="F74">
        <v>4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</row>
    <row r="75" spans="1:26" x14ac:dyDescent="0.3">
      <c r="A75" s="9">
        <f t="shared" si="27"/>
        <v>0.5</v>
      </c>
      <c r="B75" s="9">
        <f t="shared" si="28"/>
        <v>1</v>
      </c>
      <c r="C75" s="9">
        <f t="shared" si="29"/>
        <v>2</v>
      </c>
      <c r="D75" s="9">
        <f t="shared" si="30"/>
        <v>0.2</v>
      </c>
      <c r="E75">
        <v>5</v>
      </c>
      <c r="F75">
        <v>5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</row>
    <row r="76" spans="1:26" x14ac:dyDescent="0.3">
      <c r="A76" s="9">
        <f t="shared" si="27"/>
        <v>0.41666666666666669</v>
      </c>
      <c r="B76" s="9">
        <f t="shared" si="28"/>
        <v>1.2</v>
      </c>
      <c r="C76" s="9">
        <f t="shared" si="29"/>
        <v>2.0833333333333335</v>
      </c>
      <c r="D76" s="9">
        <f t="shared" si="30"/>
        <v>0.2</v>
      </c>
      <c r="E76">
        <v>5</v>
      </c>
      <c r="F76">
        <v>6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</row>
    <row r="77" spans="1:26" x14ac:dyDescent="0.3">
      <c r="A77" s="9">
        <f t="shared" si="27"/>
        <v>0.35714285714285715</v>
      </c>
      <c r="B77" s="9">
        <f t="shared" si="28"/>
        <v>1.4</v>
      </c>
      <c r="C77" s="9">
        <f t="shared" si="29"/>
        <v>2.1428571428571428</v>
      </c>
      <c r="D77" s="9">
        <f t="shared" si="30"/>
        <v>0.2</v>
      </c>
      <c r="E77">
        <v>5</v>
      </c>
      <c r="F77">
        <v>7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</row>
    <row r="78" spans="1:26" x14ac:dyDescent="0.3">
      <c r="A78" s="9">
        <f t="shared" si="27"/>
        <v>0.3125</v>
      </c>
      <c r="B78" s="9">
        <f t="shared" si="28"/>
        <v>1.6</v>
      </c>
      <c r="C78" s="9">
        <f t="shared" si="29"/>
        <v>2.1875</v>
      </c>
      <c r="D78" s="9">
        <f t="shared" si="30"/>
        <v>0.2</v>
      </c>
      <c r="E78">
        <v>5</v>
      </c>
      <c r="F78">
        <v>8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0</v>
      </c>
    </row>
    <row r="79" spans="1:26" x14ac:dyDescent="0.3">
      <c r="A79" s="9">
        <f t="shared" si="27"/>
        <v>0.27777777777777779</v>
      </c>
      <c r="B79" s="9">
        <f t="shared" si="28"/>
        <v>1.8</v>
      </c>
      <c r="C79" s="9">
        <f t="shared" si="29"/>
        <v>2.2222222222222223</v>
      </c>
      <c r="D79" s="9">
        <f t="shared" si="30"/>
        <v>0.2</v>
      </c>
      <c r="E79">
        <v>5</v>
      </c>
      <c r="F79">
        <v>9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0</v>
      </c>
      <c r="Y79" s="7">
        <v>0</v>
      </c>
      <c r="Z79" s="7">
        <v>0</v>
      </c>
    </row>
    <row r="80" spans="1:26" x14ac:dyDescent="0.3">
      <c r="A80" s="9">
        <f t="shared" si="27"/>
        <v>0.25</v>
      </c>
      <c r="B80" s="9">
        <f t="shared" si="28"/>
        <v>2</v>
      </c>
      <c r="C80" s="9">
        <f t="shared" si="29"/>
        <v>2.25</v>
      </c>
      <c r="D80" s="9">
        <f t="shared" si="30"/>
        <v>0.2</v>
      </c>
      <c r="E80">
        <v>5</v>
      </c>
      <c r="F80">
        <v>10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0</v>
      </c>
    </row>
    <row r="81" spans="1:26" x14ac:dyDescent="0.3">
      <c r="A81" s="9">
        <f t="shared" si="27"/>
        <v>3</v>
      </c>
      <c r="B81" s="9">
        <f t="shared" si="28"/>
        <v>0.16666666666666666</v>
      </c>
      <c r="C81" s="9">
        <f t="shared" si="29"/>
        <v>0</v>
      </c>
      <c r="D81" s="9">
        <f t="shared" si="30"/>
        <v>0.16666666666666666</v>
      </c>
      <c r="E81" s="21">
        <v>6</v>
      </c>
      <c r="F81" s="21">
        <v>1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</row>
    <row r="82" spans="1:26" x14ac:dyDescent="0.3">
      <c r="A82" s="9">
        <f t="shared" si="27"/>
        <v>1.5</v>
      </c>
      <c r="B82" s="9">
        <f t="shared" si="28"/>
        <v>0.33333333333333331</v>
      </c>
      <c r="C82" s="9">
        <f t="shared" si="29"/>
        <v>1.5</v>
      </c>
      <c r="D82" s="9">
        <f t="shared" si="30"/>
        <v>0.16666666666666666</v>
      </c>
      <c r="E82">
        <v>6</v>
      </c>
      <c r="F82">
        <v>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</row>
    <row r="83" spans="1:26" x14ac:dyDescent="0.3">
      <c r="A83" s="9">
        <f t="shared" si="27"/>
        <v>1</v>
      </c>
      <c r="B83" s="9">
        <f t="shared" si="28"/>
        <v>0.5</v>
      </c>
      <c r="C83" s="9">
        <f t="shared" si="29"/>
        <v>2</v>
      </c>
      <c r="D83" s="9">
        <f t="shared" si="30"/>
        <v>0.16666666666666666</v>
      </c>
      <c r="E83">
        <v>6</v>
      </c>
      <c r="F83">
        <v>3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  <c r="Z83" s="7">
        <v>0</v>
      </c>
    </row>
    <row r="84" spans="1:26" x14ac:dyDescent="0.3">
      <c r="A84" s="9">
        <f t="shared" si="27"/>
        <v>0.75</v>
      </c>
      <c r="B84" s="9">
        <f t="shared" si="28"/>
        <v>0.66666666666666663</v>
      </c>
      <c r="C84" s="9">
        <f t="shared" si="29"/>
        <v>2.25</v>
      </c>
      <c r="D84" s="9">
        <f t="shared" si="30"/>
        <v>0.16666666666666666</v>
      </c>
      <c r="E84">
        <v>6</v>
      </c>
      <c r="F84">
        <v>4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</row>
    <row r="85" spans="1:26" x14ac:dyDescent="0.3">
      <c r="A85" s="9">
        <f t="shared" si="27"/>
        <v>0.6</v>
      </c>
      <c r="B85" s="9">
        <f t="shared" si="28"/>
        <v>0.83333333333333337</v>
      </c>
      <c r="C85" s="9">
        <f t="shared" si="29"/>
        <v>2.4</v>
      </c>
      <c r="D85" s="9">
        <f t="shared" si="30"/>
        <v>0.16666666666666666</v>
      </c>
      <c r="E85">
        <v>6</v>
      </c>
      <c r="F85">
        <v>5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</row>
    <row r="86" spans="1:26" x14ac:dyDescent="0.3">
      <c r="A86" s="9">
        <f t="shared" si="27"/>
        <v>0.5</v>
      </c>
      <c r="B86" s="9">
        <f t="shared" si="28"/>
        <v>1</v>
      </c>
      <c r="C86" s="9">
        <f t="shared" si="29"/>
        <v>2.5</v>
      </c>
      <c r="D86" s="9">
        <f t="shared" si="30"/>
        <v>0.16666666666666666</v>
      </c>
      <c r="E86">
        <v>6</v>
      </c>
      <c r="F86">
        <v>6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</row>
    <row r="87" spans="1:26" x14ac:dyDescent="0.3">
      <c r="A87" s="9">
        <f t="shared" si="27"/>
        <v>0.42857142857142855</v>
      </c>
      <c r="B87" s="9">
        <f t="shared" si="28"/>
        <v>1.1666666666666667</v>
      </c>
      <c r="C87" s="9">
        <f t="shared" si="29"/>
        <v>2.5714285714285716</v>
      </c>
      <c r="D87" s="9">
        <f t="shared" si="30"/>
        <v>0.16666666666666666</v>
      </c>
      <c r="E87">
        <v>6</v>
      </c>
      <c r="F87">
        <v>7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</row>
    <row r="88" spans="1:26" x14ac:dyDescent="0.3">
      <c r="A88" s="9">
        <f t="shared" si="27"/>
        <v>0.375</v>
      </c>
      <c r="B88" s="9">
        <f t="shared" si="28"/>
        <v>1.3333333333333333</v>
      </c>
      <c r="C88" s="9">
        <f t="shared" si="29"/>
        <v>2.625</v>
      </c>
      <c r="D88" s="9">
        <f t="shared" si="30"/>
        <v>0.16666666666666666</v>
      </c>
      <c r="E88">
        <v>6</v>
      </c>
      <c r="F88">
        <v>8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0</v>
      </c>
    </row>
    <row r="89" spans="1:26" x14ac:dyDescent="0.3">
      <c r="A89" s="9">
        <f t="shared" si="27"/>
        <v>0.33333333333333331</v>
      </c>
      <c r="B89" s="9">
        <f t="shared" si="28"/>
        <v>1.5</v>
      </c>
      <c r="C89" s="9">
        <f t="shared" si="29"/>
        <v>2.6666666666666665</v>
      </c>
      <c r="D89" s="9">
        <f t="shared" si="30"/>
        <v>0.16666666666666666</v>
      </c>
      <c r="E89">
        <v>6</v>
      </c>
      <c r="F89">
        <v>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v>0</v>
      </c>
      <c r="W89" s="7">
        <v>0</v>
      </c>
      <c r="X89" s="7">
        <v>0</v>
      </c>
      <c r="Y89" s="7">
        <v>0</v>
      </c>
      <c r="Z89" s="7">
        <v>0</v>
      </c>
    </row>
    <row r="90" spans="1:26" x14ac:dyDescent="0.3">
      <c r="A90" s="9">
        <f t="shared" si="27"/>
        <v>0.3</v>
      </c>
      <c r="B90" s="9">
        <f t="shared" si="28"/>
        <v>1.6666666666666667</v>
      </c>
      <c r="C90" s="9">
        <f t="shared" si="29"/>
        <v>2.7</v>
      </c>
      <c r="D90" s="9">
        <f t="shared" si="30"/>
        <v>0.16666666666666666</v>
      </c>
      <c r="E90">
        <v>6</v>
      </c>
      <c r="F90">
        <v>10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</row>
    <row r="91" spans="1:26" x14ac:dyDescent="0.3">
      <c r="A91" s="9">
        <f t="shared" si="27"/>
        <v>3.5</v>
      </c>
      <c r="B91" s="9">
        <f t="shared" si="28"/>
        <v>0.14285714285714285</v>
      </c>
      <c r="C91" s="9">
        <f t="shared" si="29"/>
        <v>0</v>
      </c>
      <c r="D91" s="9">
        <f t="shared" si="30"/>
        <v>0.14285714285714285</v>
      </c>
      <c r="E91" s="21">
        <v>7</v>
      </c>
      <c r="F91" s="21">
        <v>1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</row>
    <row r="92" spans="1:26" x14ac:dyDescent="0.3">
      <c r="A92" s="9">
        <f t="shared" si="27"/>
        <v>1.75</v>
      </c>
      <c r="B92" s="9">
        <f t="shared" si="28"/>
        <v>0.2857142857142857</v>
      </c>
      <c r="C92" s="9">
        <f t="shared" si="29"/>
        <v>1.75</v>
      </c>
      <c r="D92" s="9">
        <f t="shared" si="30"/>
        <v>0.14285714285714285</v>
      </c>
      <c r="E92">
        <v>7</v>
      </c>
      <c r="F92">
        <v>2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</row>
    <row r="93" spans="1:26" x14ac:dyDescent="0.3">
      <c r="A93" s="9">
        <f t="shared" si="27"/>
        <v>1.1666666666666667</v>
      </c>
      <c r="B93" s="9">
        <f t="shared" si="28"/>
        <v>0.42857142857142855</v>
      </c>
      <c r="C93" s="9">
        <f t="shared" si="29"/>
        <v>2.3333333333333335</v>
      </c>
      <c r="D93" s="9">
        <f t="shared" si="30"/>
        <v>0.14285714285714285</v>
      </c>
      <c r="E93">
        <v>7</v>
      </c>
      <c r="F93">
        <v>3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</row>
    <row r="94" spans="1:26" x14ac:dyDescent="0.3">
      <c r="A94" s="9">
        <f t="shared" si="27"/>
        <v>0.875</v>
      </c>
      <c r="B94" s="9">
        <f t="shared" si="28"/>
        <v>0.5714285714285714</v>
      </c>
      <c r="C94" s="9">
        <f t="shared" si="29"/>
        <v>2.625</v>
      </c>
      <c r="D94" s="9">
        <f t="shared" si="30"/>
        <v>0.14285714285714285</v>
      </c>
      <c r="E94">
        <v>7</v>
      </c>
      <c r="F94">
        <v>4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</row>
    <row r="95" spans="1:26" x14ac:dyDescent="0.3">
      <c r="A95" s="9">
        <f t="shared" si="27"/>
        <v>0.7</v>
      </c>
      <c r="B95" s="9">
        <f t="shared" si="28"/>
        <v>0.7142857142857143</v>
      </c>
      <c r="C95" s="9">
        <f t="shared" si="29"/>
        <v>2.8</v>
      </c>
      <c r="D95" s="9">
        <f t="shared" si="30"/>
        <v>0.14285714285714285</v>
      </c>
      <c r="E95">
        <v>7</v>
      </c>
      <c r="F95">
        <v>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</row>
    <row r="96" spans="1:26" x14ac:dyDescent="0.3">
      <c r="A96" s="9">
        <f t="shared" ref="A96:A130" si="31">E96/(2*F96)</f>
        <v>0.58333333333333337</v>
      </c>
      <c r="B96" s="9">
        <f t="shared" ref="B96:B130" si="32">F96/E96</f>
        <v>0.8571428571428571</v>
      </c>
      <c r="C96" s="9">
        <f t="shared" ref="C96:C130" si="33">(F96-1)*E96/(2*F96)</f>
        <v>2.9166666666666665</v>
      </c>
      <c r="D96" s="9">
        <f t="shared" ref="D96:D130" si="34">1/E96</f>
        <v>0.14285714285714285</v>
      </c>
      <c r="E96">
        <v>7</v>
      </c>
      <c r="F96">
        <v>6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</row>
    <row r="97" spans="1:26" x14ac:dyDescent="0.3">
      <c r="A97" s="9">
        <f t="shared" si="31"/>
        <v>0.5</v>
      </c>
      <c r="B97" s="9">
        <f t="shared" si="32"/>
        <v>1</v>
      </c>
      <c r="C97" s="9">
        <f t="shared" si="33"/>
        <v>3</v>
      </c>
      <c r="D97" s="9">
        <f t="shared" si="34"/>
        <v>0.14285714285714285</v>
      </c>
      <c r="E97">
        <v>7</v>
      </c>
      <c r="F97">
        <v>7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</row>
    <row r="98" spans="1:26" x14ac:dyDescent="0.3">
      <c r="A98" s="9">
        <f t="shared" si="31"/>
        <v>0.4375</v>
      </c>
      <c r="B98" s="9">
        <f t="shared" si="32"/>
        <v>1.1428571428571428</v>
      </c>
      <c r="C98" s="9">
        <f t="shared" si="33"/>
        <v>3.0625</v>
      </c>
      <c r="D98" s="9">
        <f t="shared" si="34"/>
        <v>0.14285714285714285</v>
      </c>
      <c r="E98">
        <v>7</v>
      </c>
      <c r="F98">
        <v>8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</row>
    <row r="99" spans="1:26" x14ac:dyDescent="0.3">
      <c r="A99" s="9">
        <f t="shared" si="31"/>
        <v>0.3888888888888889</v>
      </c>
      <c r="B99" s="9">
        <f t="shared" si="32"/>
        <v>1.2857142857142858</v>
      </c>
      <c r="C99" s="9">
        <f t="shared" si="33"/>
        <v>3.1111111111111112</v>
      </c>
      <c r="D99" s="9">
        <f t="shared" si="34"/>
        <v>0.14285714285714285</v>
      </c>
      <c r="E99">
        <v>7</v>
      </c>
      <c r="F99">
        <v>9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</row>
    <row r="100" spans="1:26" x14ac:dyDescent="0.3">
      <c r="A100" s="9">
        <f t="shared" si="31"/>
        <v>0.35</v>
      </c>
      <c r="B100" s="9">
        <f t="shared" si="32"/>
        <v>1.4285714285714286</v>
      </c>
      <c r="C100" s="9">
        <f t="shared" si="33"/>
        <v>3.15</v>
      </c>
      <c r="D100" s="9">
        <f t="shared" si="34"/>
        <v>0.14285714285714285</v>
      </c>
      <c r="E100">
        <v>7</v>
      </c>
      <c r="F100">
        <v>10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</row>
    <row r="101" spans="1:26" x14ac:dyDescent="0.3">
      <c r="A101" s="9">
        <f t="shared" si="31"/>
        <v>4</v>
      </c>
      <c r="B101" s="9">
        <f t="shared" si="32"/>
        <v>0.125</v>
      </c>
      <c r="C101" s="9">
        <f t="shared" si="33"/>
        <v>0</v>
      </c>
      <c r="D101" s="9">
        <f t="shared" si="34"/>
        <v>0.125</v>
      </c>
      <c r="E101" s="21">
        <v>8</v>
      </c>
      <c r="F101" s="21">
        <v>1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</row>
    <row r="102" spans="1:26" x14ac:dyDescent="0.3">
      <c r="A102" s="9">
        <f t="shared" si="31"/>
        <v>2</v>
      </c>
      <c r="B102" s="9">
        <f t="shared" si="32"/>
        <v>0.25</v>
      </c>
      <c r="C102" s="9">
        <f t="shared" si="33"/>
        <v>2</v>
      </c>
      <c r="D102" s="9">
        <f t="shared" si="34"/>
        <v>0.125</v>
      </c>
      <c r="E102">
        <v>8</v>
      </c>
      <c r="F102">
        <v>2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</row>
    <row r="103" spans="1:26" x14ac:dyDescent="0.3">
      <c r="A103" s="9">
        <f t="shared" si="31"/>
        <v>1.3333333333333333</v>
      </c>
      <c r="B103" s="9">
        <f t="shared" si="32"/>
        <v>0.375</v>
      </c>
      <c r="C103" s="9">
        <f t="shared" si="33"/>
        <v>2.6666666666666665</v>
      </c>
      <c r="D103" s="9">
        <f t="shared" si="34"/>
        <v>0.125</v>
      </c>
      <c r="E103">
        <v>8</v>
      </c>
      <c r="F103">
        <v>3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</row>
    <row r="104" spans="1:26" x14ac:dyDescent="0.3">
      <c r="A104" s="9">
        <f t="shared" si="31"/>
        <v>1</v>
      </c>
      <c r="B104" s="9">
        <f t="shared" si="32"/>
        <v>0.5</v>
      </c>
      <c r="C104" s="9">
        <f t="shared" si="33"/>
        <v>3</v>
      </c>
      <c r="D104" s="9">
        <f t="shared" si="34"/>
        <v>0.125</v>
      </c>
      <c r="E104">
        <v>8</v>
      </c>
      <c r="F104">
        <v>4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</row>
    <row r="105" spans="1:26" x14ac:dyDescent="0.3">
      <c r="A105" s="9">
        <f t="shared" si="31"/>
        <v>0.8</v>
      </c>
      <c r="B105" s="9">
        <f t="shared" si="32"/>
        <v>0.625</v>
      </c>
      <c r="C105" s="9">
        <f t="shared" si="33"/>
        <v>3.2</v>
      </c>
      <c r="D105" s="9">
        <f t="shared" si="34"/>
        <v>0.125</v>
      </c>
      <c r="E105">
        <v>8</v>
      </c>
      <c r="F105">
        <v>5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</row>
    <row r="106" spans="1:26" x14ac:dyDescent="0.3">
      <c r="A106" s="9">
        <f t="shared" si="31"/>
        <v>0.66666666666666663</v>
      </c>
      <c r="B106" s="9">
        <f t="shared" si="32"/>
        <v>0.75</v>
      </c>
      <c r="C106" s="9">
        <f t="shared" si="33"/>
        <v>3.3333333333333335</v>
      </c>
      <c r="D106" s="9">
        <f t="shared" si="34"/>
        <v>0.125</v>
      </c>
      <c r="E106">
        <v>8</v>
      </c>
      <c r="F106">
        <v>6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</row>
    <row r="107" spans="1:26" x14ac:dyDescent="0.3">
      <c r="A107" s="9">
        <f t="shared" si="31"/>
        <v>0.5714285714285714</v>
      </c>
      <c r="B107" s="9">
        <f t="shared" si="32"/>
        <v>0.875</v>
      </c>
      <c r="C107" s="9">
        <f t="shared" si="33"/>
        <v>3.4285714285714284</v>
      </c>
      <c r="D107" s="9">
        <f t="shared" si="34"/>
        <v>0.125</v>
      </c>
      <c r="E107">
        <v>8</v>
      </c>
      <c r="F107">
        <v>7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</row>
    <row r="108" spans="1:26" x14ac:dyDescent="0.3">
      <c r="A108" s="9">
        <f t="shared" si="31"/>
        <v>0.5</v>
      </c>
      <c r="B108" s="9">
        <f t="shared" si="32"/>
        <v>1</v>
      </c>
      <c r="C108" s="9">
        <f t="shared" si="33"/>
        <v>3.5</v>
      </c>
      <c r="D108" s="9">
        <f t="shared" si="34"/>
        <v>0.125</v>
      </c>
      <c r="E108">
        <v>8</v>
      </c>
      <c r="F108">
        <v>8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</row>
    <row r="109" spans="1:26" x14ac:dyDescent="0.3">
      <c r="A109" s="9">
        <f t="shared" si="31"/>
        <v>0.44444444444444442</v>
      </c>
      <c r="B109" s="9">
        <f t="shared" si="32"/>
        <v>1.125</v>
      </c>
      <c r="C109" s="9">
        <f t="shared" si="33"/>
        <v>3.5555555555555554</v>
      </c>
      <c r="D109" s="9">
        <f t="shared" si="34"/>
        <v>0.125</v>
      </c>
      <c r="E109">
        <v>8</v>
      </c>
      <c r="F109">
        <v>9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</row>
    <row r="110" spans="1:26" x14ac:dyDescent="0.3">
      <c r="A110" s="9">
        <f t="shared" si="31"/>
        <v>0.4</v>
      </c>
      <c r="B110" s="9">
        <f t="shared" si="32"/>
        <v>1.25</v>
      </c>
      <c r="C110" s="9">
        <f t="shared" si="33"/>
        <v>3.6</v>
      </c>
      <c r="D110" s="9">
        <f t="shared" si="34"/>
        <v>0.125</v>
      </c>
      <c r="E110">
        <v>8</v>
      </c>
      <c r="F110">
        <v>10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</row>
    <row r="111" spans="1:26" x14ac:dyDescent="0.3">
      <c r="A111" s="9">
        <f t="shared" si="31"/>
        <v>4.5</v>
      </c>
      <c r="B111" s="9">
        <f t="shared" si="32"/>
        <v>0.1111111111111111</v>
      </c>
      <c r="C111" s="9">
        <f t="shared" si="33"/>
        <v>0</v>
      </c>
      <c r="D111" s="9">
        <f t="shared" si="34"/>
        <v>0.1111111111111111</v>
      </c>
      <c r="E111" s="21">
        <v>9</v>
      </c>
      <c r="F111" s="21">
        <v>1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</row>
    <row r="112" spans="1:26" x14ac:dyDescent="0.3">
      <c r="A112" s="9">
        <f t="shared" si="31"/>
        <v>2.25</v>
      </c>
      <c r="B112" s="9">
        <f t="shared" si="32"/>
        <v>0.22222222222222221</v>
      </c>
      <c r="C112" s="9">
        <f t="shared" si="33"/>
        <v>2.25</v>
      </c>
      <c r="D112" s="9">
        <f t="shared" si="34"/>
        <v>0.1111111111111111</v>
      </c>
      <c r="E112">
        <v>9</v>
      </c>
      <c r="F112">
        <v>2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</row>
    <row r="113" spans="1:26" x14ac:dyDescent="0.3">
      <c r="A113" s="9">
        <f t="shared" si="31"/>
        <v>1.5</v>
      </c>
      <c r="B113" s="9">
        <f t="shared" si="32"/>
        <v>0.33333333333333331</v>
      </c>
      <c r="C113" s="9">
        <f t="shared" si="33"/>
        <v>3</v>
      </c>
      <c r="D113" s="9">
        <f t="shared" si="34"/>
        <v>0.1111111111111111</v>
      </c>
      <c r="E113">
        <v>9</v>
      </c>
      <c r="F113">
        <v>3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</row>
    <row r="114" spans="1:26" x14ac:dyDescent="0.3">
      <c r="A114" s="9">
        <f t="shared" si="31"/>
        <v>1.125</v>
      </c>
      <c r="B114" s="9">
        <f t="shared" si="32"/>
        <v>0.44444444444444442</v>
      </c>
      <c r="C114" s="9">
        <f t="shared" si="33"/>
        <v>3.375</v>
      </c>
      <c r="D114" s="9">
        <f t="shared" si="34"/>
        <v>0.1111111111111111</v>
      </c>
      <c r="E114">
        <v>9</v>
      </c>
      <c r="F114">
        <v>4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</row>
    <row r="115" spans="1:26" x14ac:dyDescent="0.3">
      <c r="A115" s="9">
        <f t="shared" si="31"/>
        <v>0.9</v>
      </c>
      <c r="B115" s="9">
        <f t="shared" si="32"/>
        <v>0.55555555555555558</v>
      </c>
      <c r="C115" s="9">
        <f t="shared" si="33"/>
        <v>3.6</v>
      </c>
      <c r="D115" s="9">
        <f t="shared" si="34"/>
        <v>0.1111111111111111</v>
      </c>
      <c r="E115">
        <v>9</v>
      </c>
      <c r="F115">
        <v>5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</row>
    <row r="116" spans="1:26" x14ac:dyDescent="0.3">
      <c r="A116" s="9">
        <f t="shared" si="31"/>
        <v>0.75</v>
      </c>
      <c r="B116" s="9">
        <f t="shared" si="32"/>
        <v>0.66666666666666663</v>
      </c>
      <c r="C116" s="9">
        <f t="shared" si="33"/>
        <v>3.75</v>
      </c>
      <c r="D116" s="9">
        <f t="shared" si="34"/>
        <v>0.1111111111111111</v>
      </c>
      <c r="E116">
        <v>9</v>
      </c>
      <c r="F116">
        <v>6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</row>
    <row r="117" spans="1:26" x14ac:dyDescent="0.3">
      <c r="A117" s="9">
        <f t="shared" si="31"/>
        <v>0.6428571428571429</v>
      </c>
      <c r="B117" s="9">
        <f t="shared" si="32"/>
        <v>0.77777777777777779</v>
      </c>
      <c r="C117" s="9">
        <f t="shared" si="33"/>
        <v>3.8571428571428572</v>
      </c>
      <c r="D117" s="9">
        <f t="shared" si="34"/>
        <v>0.1111111111111111</v>
      </c>
      <c r="E117">
        <v>9</v>
      </c>
      <c r="F117">
        <v>7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</row>
    <row r="118" spans="1:26" x14ac:dyDescent="0.3">
      <c r="A118" s="9">
        <f t="shared" si="31"/>
        <v>0.5625</v>
      </c>
      <c r="B118" s="9">
        <f t="shared" si="32"/>
        <v>0.88888888888888884</v>
      </c>
      <c r="C118" s="9">
        <f t="shared" si="33"/>
        <v>3.9375</v>
      </c>
      <c r="D118" s="9">
        <f t="shared" si="34"/>
        <v>0.1111111111111111</v>
      </c>
      <c r="E118">
        <v>9</v>
      </c>
      <c r="F118">
        <v>8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</row>
    <row r="119" spans="1:26" x14ac:dyDescent="0.3">
      <c r="A119" s="9">
        <f t="shared" si="31"/>
        <v>0.5</v>
      </c>
      <c r="B119" s="9">
        <f t="shared" si="32"/>
        <v>1</v>
      </c>
      <c r="C119" s="9">
        <f t="shared" si="33"/>
        <v>4</v>
      </c>
      <c r="D119" s="9">
        <f t="shared" si="34"/>
        <v>0.1111111111111111</v>
      </c>
      <c r="E119">
        <v>9</v>
      </c>
      <c r="F119">
        <v>9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</row>
    <row r="120" spans="1:26" x14ac:dyDescent="0.3">
      <c r="A120" s="9">
        <f t="shared" si="31"/>
        <v>0.45</v>
      </c>
      <c r="B120" s="9">
        <f t="shared" si="32"/>
        <v>1.1111111111111112</v>
      </c>
      <c r="C120" s="9">
        <f t="shared" si="33"/>
        <v>4.05</v>
      </c>
      <c r="D120" s="9">
        <f t="shared" si="34"/>
        <v>0.1111111111111111</v>
      </c>
      <c r="E120">
        <v>9</v>
      </c>
      <c r="F120">
        <v>10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</row>
    <row r="121" spans="1:26" x14ac:dyDescent="0.3">
      <c r="A121" s="9">
        <f t="shared" si="31"/>
        <v>5</v>
      </c>
      <c r="B121" s="9">
        <f t="shared" si="32"/>
        <v>0.1</v>
      </c>
      <c r="C121" s="9">
        <f t="shared" si="33"/>
        <v>0</v>
      </c>
      <c r="D121" s="9">
        <f t="shared" si="34"/>
        <v>0.1</v>
      </c>
      <c r="E121" s="21">
        <v>10</v>
      </c>
      <c r="F121" s="21">
        <v>1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</row>
    <row r="122" spans="1:26" x14ac:dyDescent="0.3">
      <c r="A122" s="9">
        <f t="shared" si="31"/>
        <v>2.5</v>
      </c>
      <c r="B122" s="9">
        <f t="shared" si="32"/>
        <v>0.2</v>
      </c>
      <c r="C122" s="9">
        <f t="shared" si="33"/>
        <v>2.5</v>
      </c>
      <c r="D122" s="9">
        <f t="shared" si="34"/>
        <v>0.1</v>
      </c>
      <c r="E122">
        <v>10</v>
      </c>
      <c r="F122">
        <v>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</row>
    <row r="123" spans="1:26" x14ac:dyDescent="0.3">
      <c r="A123" s="9">
        <f t="shared" si="31"/>
        <v>1.6666666666666667</v>
      </c>
      <c r="B123" s="9">
        <f t="shared" si="32"/>
        <v>0.3</v>
      </c>
      <c r="C123" s="9">
        <f t="shared" si="33"/>
        <v>3.3333333333333335</v>
      </c>
      <c r="D123" s="9">
        <f t="shared" si="34"/>
        <v>0.1</v>
      </c>
      <c r="E123">
        <v>10</v>
      </c>
      <c r="F123">
        <v>3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</row>
    <row r="124" spans="1:26" x14ac:dyDescent="0.3">
      <c r="A124" s="9">
        <f t="shared" si="31"/>
        <v>1.25</v>
      </c>
      <c r="B124" s="9">
        <f t="shared" si="32"/>
        <v>0.4</v>
      </c>
      <c r="C124" s="9">
        <f t="shared" si="33"/>
        <v>3.75</v>
      </c>
      <c r="D124" s="9">
        <f t="shared" si="34"/>
        <v>0.1</v>
      </c>
      <c r="E124">
        <v>10</v>
      </c>
      <c r="F124">
        <v>4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</row>
    <row r="125" spans="1:26" x14ac:dyDescent="0.3">
      <c r="A125" s="9">
        <f t="shared" si="31"/>
        <v>1</v>
      </c>
      <c r="B125" s="9">
        <f t="shared" si="32"/>
        <v>0.5</v>
      </c>
      <c r="C125" s="9">
        <f t="shared" si="33"/>
        <v>4</v>
      </c>
      <c r="D125" s="9">
        <f t="shared" si="34"/>
        <v>0.1</v>
      </c>
      <c r="E125">
        <v>10</v>
      </c>
      <c r="F125">
        <v>5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</row>
    <row r="126" spans="1:26" x14ac:dyDescent="0.3">
      <c r="A126" s="9">
        <f t="shared" si="31"/>
        <v>0.83333333333333337</v>
      </c>
      <c r="B126" s="9">
        <f t="shared" si="32"/>
        <v>0.6</v>
      </c>
      <c r="C126" s="9">
        <f t="shared" si="33"/>
        <v>4.166666666666667</v>
      </c>
      <c r="D126" s="9">
        <f t="shared" si="34"/>
        <v>0.1</v>
      </c>
      <c r="E126">
        <v>10</v>
      </c>
      <c r="F126">
        <v>6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</row>
    <row r="127" spans="1:26" x14ac:dyDescent="0.3">
      <c r="A127" s="9">
        <f t="shared" si="31"/>
        <v>0.7142857142857143</v>
      </c>
      <c r="B127" s="9">
        <f t="shared" si="32"/>
        <v>0.7</v>
      </c>
      <c r="C127" s="9">
        <f t="shared" si="33"/>
        <v>4.2857142857142856</v>
      </c>
      <c r="D127" s="9">
        <f t="shared" si="34"/>
        <v>0.1</v>
      </c>
      <c r="E127">
        <v>10</v>
      </c>
      <c r="F127">
        <v>7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</row>
    <row r="128" spans="1:26" x14ac:dyDescent="0.3">
      <c r="A128" s="9">
        <f t="shared" si="31"/>
        <v>0.625</v>
      </c>
      <c r="B128" s="9">
        <f t="shared" si="32"/>
        <v>0.8</v>
      </c>
      <c r="C128" s="9">
        <f t="shared" si="33"/>
        <v>4.375</v>
      </c>
      <c r="D128" s="9">
        <f t="shared" si="34"/>
        <v>0.1</v>
      </c>
      <c r="E128">
        <v>10</v>
      </c>
      <c r="F128">
        <v>8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</row>
    <row r="129" spans="1:26" x14ac:dyDescent="0.3">
      <c r="A129" s="9">
        <f t="shared" si="31"/>
        <v>0.55555555555555558</v>
      </c>
      <c r="B129" s="9">
        <f t="shared" si="32"/>
        <v>0.9</v>
      </c>
      <c r="C129" s="9">
        <f t="shared" si="33"/>
        <v>4.4444444444444446</v>
      </c>
      <c r="D129" s="9">
        <f t="shared" si="34"/>
        <v>0.1</v>
      </c>
      <c r="E129">
        <v>10</v>
      </c>
      <c r="F129">
        <v>9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</row>
    <row r="130" spans="1:26" x14ac:dyDescent="0.3">
      <c r="A130" s="9">
        <f t="shared" si="31"/>
        <v>0.5</v>
      </c>
      <c r="B130" s="9">
        <f t="shared" si="32"/>
        <v>1</v>
      </c>
      <c r="C130" s="9">
        <f t="shared" si="33"/>
        <v>4.5</v>
      </c>
      <c r="D130" s="9">
        <f t="shared" si="34"/>
        <v>0.1</v>
      </c>
      <c r="E130">
        <v>10</v>
      </c>
      <c r="F130">
        <v>10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9"/>
  <sheetViews>
    <sheetView workbookViewId="0">
      <selection activeCell="B18" sqref="B18"/>
    </sheetView>
  </sheetViews>
  <sheetFormatPr defaultColWidth="8.796875" defaultRowHeight="14.15" x14ac:dyDescent="0.3"/>
  <cols>
    <col min="2" max="2" width="10.1328125" bestFit="1" customWidth="1"/>
    <col min="12" max="12" width="12.6640625" customWidth="1"/>
  </cols>
  <sheetData>
    <row r="1" spans="1:12" x14ac:dyDescent="0.3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</row>
    <row r="2" spans="1:12" x14ac:dyDescent="0.3">
      <c r="A2" t="s">
        <v>0</v>
      </c>
      <c r="B2">
        <f>난수발생!D2</f>
        <v>2538</v>
      </c>
      <c r="C2">
        <f>난수발생!E2</f>
        <v>3058</v>
      </c>
      <c r="D2">
        <f>난수발생!F2</f>
        <v>3430</v>
      </c>
      <c r="E2">
        <f>난수발생!G2</f>
        <v>3880</v>
      </c>
      <c r="F2">
        <f>난수발생!H2</f>
        <v>2802</v>
      </c>
      <c r="G2">
        <f>난수발생!I2</f>
        <v>4156</v>
      </c>
      <c r="H2">
        <f>난수발생!J2</f>
        <v>3931</v>
      </c>
      <c r="I2">
        <f>난수발생!K2</f>
        <v>1761</v>
      </c>
      <c r="J2">
        <f>난수발생!L2</f>
        <v>3687</v>
      </c>
      <c r="K2">
        <f>난수발생!M2</f>
        <v>1980</v>
      </c>
    </row>
    <row r="3" spans="1:12" x14ac:dyDescent="0.3">
      <c r="A3" t="s">
        <v>1</v>
      </c>
      <c r="B3">
        <f>난수발생!D3</f>
        <v>31</v>
      </c>
      <c r="C3">
        <f>난수발생!E3</f>
        <v>46</v>
      </c>
      <c r="D3">
        <f>난수발생!F3</f>
        <v>48</v>
      </c>
      <c r="E3">
        <f>난수발생!G3</f>
        <v>32</v>
      </c>
      <c r="F3">
        <f>난수발생!H3</f>
        <v>48</v>
      </c>
      <c r="G3">
        <f>난수발생!I3</f>
        <v>34</v>
      </c>
      <c r="H3">
        <f>난수발생!J3</f>
        <v>45</v>
      </c>
      <c r="I3">
        <f>난수발생!K3</f>
        <v>44</v>
      </c>
      <c r="J3">
        <f>난수발생!L3</f>
        <v>48</v>
      </c>
      <c r="K3">
        <f>난수발생!M3</f>
        <v>48</v>
      </c>
    </row>
    <row r="4" spans="1:12" x14ac:dyDescent="0.3">
      <c r="A4" t="s">
        <v>2</v>
      </c>
      <c r="B4">
        <f>난수발생!D4</f>
        <v>1.3</v>
      </c>
      <c r="C4">
        <f>난수발생!E4</f>
        <v>3</v>
      </c>
      <c r="D4">
        <f>난수발생!F4</f>
        <v>1.3</v>
      </c>
      <c r="E4">
        <f>난수발생!G4</f>
        <v>2.1</v>
      </c>
      <c r="F4">
        <f>난수발생!H4</f>
        <v>2.7</v>
      </c>
      <c r="G4">
        <f>난수발생!I4</f>
        <v>0.7</v>
      </c>
      <c r="H4">
        <f>난수발생!J4</f>
        <v>2.3000000000000003</v>
      </c>
      <c r="I4">
        <f>난수발생!K4</f>
        <v>2.6</v>
      </c>
      <c r="J4">
        <f>난수발생!L4</f>
        <v>2.5</v>
      </c>
      <c r="K4">
        <f>난수발생!M4</f>
        <v>3</v>
      </c>
    </row>
    <row r="5" spans="1:12" x14ac:dyDescent="0.3">
      <c r="A5" t="s">
        <v>3</v>
      </c>
      <c r="B5">
        <f>난수발생!D5</f>
        <v>3.4</v>
      </c>
      <c r="C5">
        <f>난수발생!E5</f>
        <v>7.3999999999999995</v>
      </c>
      <c r="D5">
        <f>난수발생!F5</f>
        <v>12</v>
      </c>
      <c r="E5">
        <f>난수발생!G5</f>
        <v>5.6999999999999993</v>
      </c>
      <c r="F5">
        <f>난수발생!H5</f>
        <v>10.5</v>
      </c>
      <c r="G5">
        <f>난수발생!I5</f>
        <v>5.3999999999999995</v>
      </c>
      <c r="H5">
        <f>난수발생!J5</f>
        <v>4.8999999999999995</v>
      </c>
      <c r="I5">
        <f>난수발생!K5</f>
        <v>5.6999999999999993</v>
      </c>
      <c r="J5">
        <f>난수발생!L5</f>
        <v>11.4</v>
      </c>
      <c r="K5">
        <f>난수발생!M5</f>
        <v>7.8999999999999995</v>
      </c>
    </row>
    <row r="6" spans="1:12" x14ac:dyDescent="0.3">
      <c r="A6" t="s">
        <v>4</v>
      </c>
      <c r="B6">
        <f>난수발생!D6</f>
        <v>2.1</v>
      </c>
      <c r="C6">
        <f>난수발생!E6</f>
        <v>4.3</v>
      </c>
      <c r="D6">
        <f>난수발생!F6</f>
        <v>1.7000000000000002</v>
      </c>
      <c r="E6">
        <f>난수발생!G6</f>
        <v>3.1</v>
      </c>
      <c r="F6">
        <f>난수발생!H6</f>
        <v>4.3999999999999995</v>
      </c>
      <c r="G6">
        <f>난수발생!I6</f>
        <v>1.3</v>
      </c>
      <c r="H6">
        <f>난수발생!J6</f>
        <v>3.9</v>
      </c>
      <c r="I6">
        <f>난수발생!K6</f>
        <v>4.8999999999999995</v>
      </c>
      <c r="J6">
        <f>난수발생!L6</f>
        <v>3.4</v>
      </c>
      <c r="K6">
        <f>난수발생!M6</f>
        <v>3.9</v>
      </c>
    </row>
    <row r="7" spans="1:12" x14ac:dyDescent="0.3">
      <c r="A7" t="s">
        <v>18</v>
      </c>
      <c r="B7">
        <v>6.25</v>
      </c>
      <c r="C7">
        <v>6.25</v>
      </c>
      <c r="D7">
        <v>6.25</v>
      </c>
      <c r="E7">
        <v>6.25</v>
      </c>
      <c r="F7">
        <v>6.25</v>
      </c>
      <c r="G7">
        <v>6.25</v>
      </c>
      <c r="H7">
        <v>6.25</v>
      </c>
      <c r="I7">
        <v>6.25</v>
      </c>
      <c r="J7">
        <v>6.25</v>
      </c>
      <c r="K7">
        <v>6.25</v>
      </c>
      <c r="L7">
        <v>25000</v>
      </c>
    </row>
    <row r="8" spans="1:12" x14ac:dyDescent="0.3">
      <c r="A8" s="1" t="s">
        <v>9</v>
      </c>
      <c r="B8" s="3">
        <f>LP!G8</f>
        <v>1</v>
      </c>
      <c r="C8" s="3">
        <f>LP!H8</f>
        <v>1</v>
      </c>
      <c r="D8" s="3">
        <f>LP!I8</f>
        <v>1</v>
      </c>
      <c r="E8" s="3">
        <f>LP!J8</f>
        <v>3</v>
      </c>
      <c r="F8" s="3">
        <f>LP!K8</f>
        <v>1</v>
      </c>
      <c r="G8" s="3">
        <f>LP!L8</f>
        <v>1</v>
      </c>
      <c r="H8" s="3">
        <f>LP!M8</f>
        <v>1</v>
      </c>
      <c r="I8" s="3">
        <f>LP!N8</f>
        <v>1</v>
      </c>
      <c r="J8" s="3">
        <f>LP!O8</f>
        <v>2</v>
      </c>
      <c r="K8" s="3">
        <f>LP!P8</f>
        <v>1</v>
      </c>
    </row>
    <row r="9" spans="1:12" x14ac:dyDescent="0.3">
      <c r="A9" s="1" t="s">
        <v>10</v>
      </c>
      <c r="B9" s="3">
        <f>LP!G9</f>
        <v>2</v>
      </c>
      <c r="C9" s="3">
        <f>LP!H9</f>
        <v>3</v>
      </c>
      <c r="D9" s="3">
        <f>LP!I9</f>
        <v>2</v>
      </c>
      <c r="E9" s="3">
        <f>LP!J9</f>
        <v>2</v>
      </c>
      <c r="F9" s="3">
        <f>LP!K9</f>
        <v>4</v>
      </c>
      <c r="G9" s="3">
        <f>LP!L9</f>
        <v>2</v>
      </c>
      <c r="H9" s="3">
        <f>LP!M9</f>
        <v>2</v>
      </c>
      <c r="I9" s="3">
        <f>LP!N9</f>
        <v>2</v>
      </c>
      <c r="J9" s="3">
        <f>LP!O9</f>
        <v>2</v>
      </c>
      <c r="K9" s="3">
        <f>LP!P9</f>
        <v>2</v>
      </c>
    </row>
    <row r="10" spans="1:12" x14ac:dyDescent="0.3">
      <c r="B10">
        <f t="shared" ref="B10:K10" si="0">B27*B9/(B2*B8*B7)</f>
        <v>0.25216706067769895</v>
      </c>
      <c r="C10">
        <f t="shared" si="0"/>
        <v>0.31393067364290383</v>
      </c>
      <c r="D10">
        <f t="shared" si="0"/>
        <v>0.18658892128279883</v>
      </c>
      <c r="E10">
        <f t="shared" si="0"/>
        <v>5.4982817869415807E-2</v>
      </c>
      <c r="F10">
        <f t="shared" si="0"/>
        <v>0.4568165596002855</v>
      </c>
      <c r="G10">
        <f t="shared" ref="G10:J10" si="1">G27*G9/(G2*G8*G7)</f>
        <v>0.15407122232916265</v>
      </c>
      <c r="H10">
        <f t="shared" si="1"/>
        <v>0.1629712541338082</v>
      </c>
      <c r="I10">
        <f t="shared" si="1"/>
        <v>0.36397501419647926</v>
      </c>
      <c r="J10">
        <f t="shared" si="1"/>
        <v>8.6965012205044753E-2</v>
      </c>
      <c r="K10">
        <f t="shared" si="0"/>
        <v>0.32323232323232326</v>
      </c>
      <c r="L10" s="5">
        <f>L7/L28</f>
        <v>9.3742676353409896E-2</v>
      </c>
    </row>
    <row r="11" spans="1:12" x14ac:dyDescent="0.3">
      <c r="A11" t="s">
        <v>5</v>
      </c>
      <c r="B11" s="5">
        <f>SQRT(2*(B15+L17)/L20)</f>
        <v>0.11546528206815626</v>
      </c>
      <c r="C11" s="5">
        <f>B11</f>
        <v>0.11546528206815626</v>
      </c>
    </row>
    <row r="12" spans="1:12" x14ac:dyDescent="0.3">
      <c r="A12" t="s">
        <v>6</v>
      </c>
      <c r="B12" s="4">
        <f>(B15+L22)/C11+L23+L24+L25</f>
        <v>12759.968251440823</v>
      </c>
    </row>
    <row r="14" spans="1:12" x14ac:dyDescent="0.3">
      <c r="A14" t="s">
        <v>7</v>
      </c>
    </row>
    <row r="15" spans="1:12" x14ac:dyDescent="0.3">
      <c r="A15" t="s">
        <v>8</v>
      </c>
      <c r="B15">
        <v>200</v>
      </c>
    </row>
    <row r="17" spans="1:12" x14ac:dyDescent="0.3">
      <c r="A17" t="s">
        <v>11</v>
      </c>
      <c r="B17" s="4">
        <f t="shared" ref="B17:K17" si="2">(B3+B9*B5)/B8</f>
        <v>37.799999999999997</v>
      </c>
      <c r="C17" s="4">
        <f t="shared" si="2"/>
        <v>68.2</v>
      </c>
      <c r="D17" s="4">
        <f t="shared" si="2"/>
        <v>72</v>
      </c>
      <c r="E17" s="4">
        <f t="shared" si="2"/>
        <v>14.466666666666667</v>
      </c>
      <c r="F17" s="4">
        <f t="shared" si="2"/>
        <v>90</v>
      </c>
      <c r="G17" s="4">
        <f t="shared" ref="G17:J17" si="3">(G3+G9*G5)/G8</f>
        <v>44.8</v>
      </c>
      <c r="H17" s="4">
        <f t="shared" si="3"/>
        <v>54.8</v>
      </c>
      <c r="I17" s="4">
        <f t="shared" si="3"/>
        <v>55.4</v>
      </c>
      <c r="J17" s="4">
        <f t="shared" si="3"/>
        <v>35.4</v>
      </c>
      <c r="K17" s="4">
        <f t="shared" si="2"/>
        <v>63.8</v>
      </c>
      <c r="L17" s="4">
        <f>SUM(B17:K17)</f>
        <v>536.66666666666663</v>
      </c>
    </row>
    <row r="18" spans="1:12" x14ac:dyDescent="0.3">
      <c r="A18" t="s">
        <v>12</v>
      </c>
      <c r="B18" s="4">
        <f t="shared" ref="B18:K18" si="4">B4+(B6-B4)/B9</f>
        <v>1.7000000000000002</v>
      </c>
      <c r="C18" s="4">
        <f t="shared" si="4"/>
        <v>3.4333333333333331</v>
      </c>
      <c r="D18" s="4">
        <f t="shared" si="4"/>
        <v>1.5</v>
      </c>
      <c r="E18" s="4">
        <f t="shared" si="4"/>
        <v>2.6</v>
      </c>
      <c r="F18" s="4">
        <f t="shared" si="4"/>
        <v>3.125</v>
      </c>
      <c r="G18" s="4">
        <f t="shared" ref="G18:J18" si="5">G4+(G6-G4)/G9</f>
        <v>1</v>
      </c>
      <c r="H18" s="4">
        <f t="shared" si="5"/>
        <v>3.1</v>
      </c>
      <c r="I18" s="4">
        <f t="shared" si="5"/>
        <v>3.75</v>
      </c>
      <c r="J18" s="4">
        <f t="shared" si="5"/>
        <v>2.95</v>
      </c>
      <c r="K18" s="4">
        <f t="shared" si="4"/>
        <v>3.45</v>
      </c>
      <c r="L18" s="4">
        <f t="shared" ref="L18:L25" si="6">SUM(B18:K18)</f>
        <v>26.608333333333331</v>
      </c>
    </row>
    <row r="19" spans="1:12" x14ac:dyDescent="0.3">
      <c r="A19" t="s">
        <v>13</v>
      </c>
      <c r="B19" s="4">
        <f t="shared" ref="B19:K19" si="7">B8*B2</f>
        <v>2538</v>
      </c>
      <c r="C19" s="4">
        <f t="shared" si="7"/>
        <v>3058</v>
      </c>
      <c r="D19" s="4">
        <f t="shared" si="7"/>
        <v>3430</v>
      </c>
      <c r="E19" s="4">
        <f t="shared" si="7"/>
        <v>11640</v>
      </c>
      <c r="F19" s="4">
        <f t="shared" si="7"/>
        <v>2802</v>
      </c>
      <c r="G19" s="4">
        <f t="shared" ref="G19:J19" si="8">G8*G2</f>
        <v>4156</v>
      </c>
      <c r="H19" s="4">
        <f t="shared" si="8"/>
        <v>3931</v>
      </c>
      <c r="I19" s="4">
        <f t="shared" si="8"/>
        <v>1761</v>
      </c>
      <c r="J19" s="4">
        <f t="shared" si="8"/>
        <v>7374</v>
      </c>
      <c r="K19" s="4">
        <f t="shared" si="7"/>
        <v>1980</v>
      </c>
      <c r="L19" s="4"/>
    </row>
    <row r="20" spans="1:12" x14ac:dyDescent="0.3">
      <c r="B20" s="4">
        <f t="shared" ref="B20:K20" si="9">B18*B19</f>
        <v>4314.6000000000004</v>
      </c>
      <c r="C20" s="4">
        <f t="shared" si="9"/>
        <v>10499.133333333333</v>
      </c>
      <c r="D20" s="4">
        <f t="shared" si="9"/>
        <v>5145</v>
      </c>
      <c r="E20" s="4">
        <f t="shared" si="9"/>
        <v>30264</v>
      </c>
      <c r="F20" s="4">
        <f t="shared" si="9"/>
        <v>8756.25</v>
      </c>
      <c r="G20" s="4">
        <f t="shared" ref="G20:J20" si="10">G18*G19</f>
        <v>4156</v>
      </c>
      <c r="H20" s="4">
        <f t="shared" si="10"/>
        <v>12186.1</v>
      </c>
      <c r="I20" s="4">
        <f t="shared" si="10"/>
        <v>6603.75</v>
      </c>
      <c r="J20" s="4">
        <f t="shared" si="10"/>
        <v>21753.300000000003</v>
      </c>
      <c r="K20" s="4">
        <f t="shared" si="9"/>
        <v>6831</v>
      </c>
      <c r="L20" s="4">
        <f t="shared" si="6"/>
        <v>110509.13333333335</v>
      </c>
    </row>
    <row r="21" spans="1:12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2" x14ac:dyDescent="0.3">
      <c r="A22" t="s">
        <v>14</v>
      </c>
      <c r="B22" s="4">
        <f t="shared" ref="B22:K22" si="11">B3/B8</f>
        <v>31</v>
      </c>
      <c r="C22" s="4">
        <f t="shared" si="11"/>
        <v>46</v>
      </c>
      <c r="D22" s="4">
        <f t="shared" si="11"/>
        <v>48</v>
      </c>
      <c r="E22" s="4">
        <f t="shared" si="11"/>
        <v>10.666666666666666</v>
      </c>
      <c r="F22" s="4">
        <f t="shared" si="11"/>
        <v>48</v>
      </c>
      <c r="G22" s="4">
        <f t="shared" ref="G22:J22" si="12">G3/G8</f>
        <v>34</v>
      </c>
      <c r="H22" s="4">
        <f t="shared" si="12"/>
        <v>45</v>
      </c>
      <c r="I22" s="4">
        <f t="shared" si="12"/>
        <v>44</v>
      </c>
      <c r="J22" s="4">
        <f t="shared" si="12"/>
        <v>24</v>
      </c>
      <c r="K22" s="4">
        <f t="shared" si="11"/>
        <v>48</v>
      </c>
      <c r="L22" s="4">
        <f t="shared" si="6"/>
        <v>378.66666666666663</v>
      </c>
    </row>
    <row r="23" spans="1:12" x14ac:dyDescent="0.3">
      <c r="B23" s="4">
        <f t="shared" ref="B23:K23" si="13">(B9-1)*B19*$C$11*B4/(2*B9)</f>
        <v>95.241537913918691</v>
      </c>
      <c r="C23" s="4">
        <f t="shared" si="13"/>
        <v>353.09283256442183</v>
      </c>
      <c r="D23" s="4">
        <f t="shared" si="13"/>
        <v>128.7149231854772</v>
      </c>
      <c r="E23" s="4">
        <f t="shared" si="13"/>
        <v>705.60833871850298</v>
      </c>
      <c r="F23" s="4">
        <f t="shared" si="13"/>
        <v>327.57789185941101</v>
      </c>
      <c r="G23" s="4">
        <f t="shared" ref="G23:J23" si="14">(G9-1)*G19*$C$11*G4/(2*G9)</f>
        <v>83.977899648170052</v>
      </c>
      <c r="H23" s="4">
        <f t="shared" si="14"/>
        <v>260.98906369070534</v>
      </c>
      <c r="I23" s="4">
        <f t="shared" si="14"/>
        <v>132.16733511931506</v>
      </c>
      <c r="J23" s="4">
        <f t="shared" si="14"/>
        <v>532.15061873161517</v>
      </c>
      <c r="K23" s="4">
        <f t="shared" si="13"/>
        <v>171.46594387121203</v>
      </c>
      <c r="L23" s="4">
        <f t="shared" si="6"/>
        <v>2790.9863853027487</v>
      </c>
    </row>
    <row r="24" spans="1:12" x14ac:dyDescent="0.3">
      <c r="B24" s="4">
        <f t="shared" ref="B24:K24" si="15">B9*B5/(B8*$C$11)</f>
        <v>58.892161160496109</v>
      </c>
      <c r="C24" s="4">
        <f t="shared" si="15"/>
        <v>192.26558496514906</v>
      </c>
      <c r="D24" s="4">
        <f t="shared" si="15"/>
        <v>207.85468644880979</v>
      </c>
      <c r="E24" s="4">
        <f t="shared" si="15"/>
        <v>32.910325354394878</v>
      </c>
      <c r="F24" s="4">
        <f t="shared" si="15"/>
        <v>363.74570128541717</v>
      </c>
      <c r="G24" s="4">
        <f t="shared" ref="G24:J24" si="16">G9*G5/(G8*$C$11)</f>
        <v>93.534608901964404</v>
      </c>
      <c r="H24" s="4">
        <f t="shared" si="16"/>
        <v>84.873996966597318</v>
      </c>
      <c r="I24" s="4">
        <f t="shared" si="16"/>
        <v>98.730976063184642</v>
      </c>
      <c r="J24" s="4">
        <f t="shared" si="16"/>
        <v>98.730976063184656</v>
      </c>
      <c r="K24" s="4">
        <f t="shared" si="15"/>
        <v>136.83766857879976</v>
      </c>
      <c r="L24" s="4">
        <f t="shared" si="6"/>
        <v>1368.3766857879978</v>
      </c>
    </row>
    <row r="25" spans="1:12" x14ac:dyDescent="0.3">
      <c r="B25" s="4">
        <f t="shared" ref="B25:K25" si="17">B19*$C$11*B6/(2*B9)</f>
        <v>153.85171509171482</v>
      </c>
      <c r="C25" s="4">
        <f t="shared" si="17"/>
        <v>253.04986333783563</v>
      </c>
      <c r="D25" s="4">
        <f t="shared" si="17"/>
        <v>168.31951493485479</v>
      </c>
      <c r="E25" s="4">
        <f t="shared" si="17"/>
        <v>1041.6123095368378</v>
      </c>
      <c r="F25" s="4">
        <f t="shared" si="17"/>
        <v>177.9435461952356</v>
      </c>
      <c r="G25" s="4">
        <f t="shared" ref="G25:J25" si="18">G19*$C$11*G6/(2*G9)</f>
        <v>155.95895648945867</v>
      </c>
      <c r="H25" s="4">
        <f t="shared" si="18"/>
        <v>442.54667321467417</v>
      </c>
      <c r="I25" s="4">
        <f t="shared" si="18"/>
        <v>249.08459310947836</v>
      </c>
      <c r="J25" s="4">
        <f t="shared" si="18"/>
        <v>723.72484147499665</v>
      </c>
      <c r="K25" s="4">
        <f t="shared" si="17"/>
        <v>222.90572703257564</v>
      </c>
      <c r="L25" s="4">
        <f t="shared" si="6"/>
        <v>3588.9977404176616</v>
      </c>
    </row>
    <row r="26" spans="1:12" x14ac:dyDescent="0.3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2" x14ac:dyDescent="0.3">
      <c r="B27" s="6">
        <v>2000</v>
      </c>
      <c r="C27" s="6">
        <v>2000</v>
      </c>
      <c r="D27" s="6">
        <v>2000</v>
      </c>
      <c r="E27" s="6">
        <v>2000</v>
      </c>
      <c r="F27" s="6">
        <v>2000</v>
      </c>
      <c r="G27" s="6">
        <v>2001</v>
      </c>
      <c r="H27" s="6">
        <v>2002</v>
      </c>
      <c r="I27" s="6">
        <v>2003</v>
      </c>
      <c r="J27" s="6">
        <v>2004</v>
      </c>
      <c r="K27" s="6">
        <v>2000</v>
      </c>
    </row>
    <row r="28" spans="1:12" x14ac:dyDescent="0.3">
      <c r="B28" s="6">
        <f t="shared" ref="B28:K28" si="19">B8*B2*B7</f>
        <v>15862.5</v>
      </c>
      <c r="C28" s="6">
        <f t="shared" si="19"/>
        <v>19112.5</v>
      </c>
      <c r="D28" s="6">
        <f t="shared" si="19"/>
        <v>21437.5</v>
      </c>
      <c r="E28" s="6">
        <f t="shared" si="19"/>
        <v>72750</v>
      </c>
      <c r="F28" s="6">
        <f t="shared" si="19"/>
        <v>17512.5</v>
      </c>
      <c r="G28" s="6">
        <f t="shared" ref="G28:J28" si="20">G8*G2*G7</f>
        <v>25975</v>
      </c>
      <c r="H28" s="6">
        <f t="shared" si="20"/>
        <v>24568.75</v>
      </c>
      <c r="I28" s="6">
        <f t="shared" si="20"/>
        <v>11006.25</v>
      </c>
      <c r="J28" s="6">
        <f t="shared" si="20"/>
        <v>46087.5</v>
      </c>
      <c r="K28" s="6">
        <f t="shared" si="19"/>
        <v>12375</v>
      </c>
      <c r="L28" s="6">
        <f>SUM(B28:K28)</f>
        <v>266687.5</v>
      </c>
    </row>
    <row r="29" spans="1:12" x14ac:dyDescent="0.3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7"/>
  <sheetViews>
    <sheetView workbookViewId="0">
      <selection activeCell="J35" sqref="J35"/>
    </sheetView>
  </sheetViews>
  <sheetFormatPr defaultColWidth="4.796875" defaultRowHeight="14.15" x14ac:dyDescent="0.3"/>
  <cols>
    <col min="1" max="1" width="7.1328125" customWidth="1"/>
    <col min="2" max="2" width="9.46484375" customWidth="1"/>
    <col min="3" max="13" width="7.796875" customWidth="1"/>
  </cols>
  <sheetData>
    <row r="1" spans="1:13" x14ac:dyDescent="0.3"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  <c r="K1" s="2">
        <v>8</v>
      </c>
      <c r="L1" s="2">
        <v>9</v>
      </c>
      <c r="M1" s="2">
        <v>10</v>
      </c>
    </row>
    <row r="2" spans="1:13" x14ac:dyDescent="0.3">
      <c r="C2" t="s">
        <v>0</v>
      </c>
      <c r="D2">
        <v>2538</v>
      </c>
      <c r="E2">
        <v>3058</v>
      </c>
      <c r="F2">
        <v>3430</v>
      </c>
      <c r="G2">
        <v>3880</v>
      </c>
      <c r="H2">
        <v>2802</v>
      </c>
      <c r="I2">
        <v>4156</v>
      </c>
      <c r="J2">
        <v>3931</v>
      </c>
      <c r="K2">
        <v>1761</v>
      </c>
      <c r="L2">
        <v>3687</v>
      </c>
      <c r="M2">
        <v>1980</v>
      </c>
    </row>
    <row r="3" spans="1:13" x14ac:dyDescent="0.3">
      <c r="C3" t="s">
        <v>1</v>
      </c>
      <c r="D3">
        <v>31</v>
      </c>
      <c r="E3">
        <v>46</v>
      </c>
      <c r="F3">
        <v>48</v>
      </c>
      <c r="G3">
        <v>32</v>
      </c>
      <c r="H3">
        <v>48</v>
      </c>
      <c r="I3">
        <v>34</v>
      </c>
      <c r="J3">
        <v>45</v>
      </c>
      <c r="K3">
        <v>44</v>
      </c>
      <c r="L3">
        <v>48</v>
      </c>
      <c r="M3">
        <v>48</v>
      </c>
    </row>
    <row r="4" spans="1:13" x14ac:dyDescent="0.3">
      <c r="C4" t="s">
        <v>2</v>
      </c>
      <c r="D4">
        <v>1.3</v>
      </c>
      <c r="E4">
        <v>3</v>
      </c>
      <c r="F4">
        <v>1.3</v>
      </c>
      <c r="G4">
        <v>2.1</v>
      </c>
      <c r="H4">
        <v>2.7</v>
      </c>
      <c r="I4">
        <v>0.7</v>
      </c>
      <c r="J4">
        <v>2.3000000000000003</v>
      </c>
      <c r="K4">
        <v>2.6</v>
      </c>
      <c r="L4">
        <v>2.5</v>
      </c>
      <c r="M4">
        <v>3</v>
      </c>
    </row>
    <row r="5" spans="1:13" x14ac:dyDescent="0.3">
      <c r="C5" t="s">
        <v>3</v>
      </c>
      <c r="D5">
        <v>3.4</v>
      </c>
      <c r="E5">
        <v>7.3999999999999995</v>
      </c>
      <c r="F5">
        <v>12</v>
      </c>
      <c r="G5">
        <v>5.6999999999999993</v>
      </c>
      <c r="H5">
        <v>10.5</v>
      </c>
      <c r="I5">
        <v>5.3999999999999995</v>
      </c>
      <c r="J5">
        <v>4.8999999999999995</v>
      </c>
      <c r="K5">
        <v>5.6999999999999993</v>
      </c>
      <c r="L5">
        <v>11.4</v>
      </c>
      <c r="M5">
        <v>7.8999999999999995</v>
      </c>
    </row>
    <row r="6" spans="1:13" x14ac:dyDescent="0.3">
      <c r="C6" t="s">
        <v>4</v>
      </c>
      <c r="D6">
        <v>2.1</v>
      </c>
      <c r="E6">
        <v>4.3</v>
      </c>
      <c r="F6">
        <v>1.7000000000000002</v>
      </c>
      <c r="G6">
        <v>3.1</v>
      </c>
      <c r="H6">
        <v>4.3999999999999995</v>
      </c>
      <c r="I6">
        <v>1.3</v>
      </c>
      <c r="J6">
        <v>3.9</v>
      </c>
      <c r="K6">
        <v>4.8999999999999995</v>
      </c>
      <c r="L6">
        <v>3.4</v>
      </c>
      <c r="M6">
        <v>3.9</v>
      </c>
    </row>
    <row r="7" spans="1:13" x14ac:dyDescent="0.3">
      <c r="C7" t="s">
        <v>18</v>
      </c>
    </row>
    <row r="10" spans="1:13" x14ac:dyDescent="0.3">
      <c r="A10" t="s">
        <v>30</v>
      </c>
    </row>
    <row r="11" spans="1:13" x14ac:dyDescent="0.3">
      <c r="A11">
        <v>500</v>
      </c>
      <c r="B11">
        <v>5000</v>
      </c>
      <c r="C11" t="s">
        <v>0</v>
      </c>
      <c r="D11">
        <f ca="1">RAND()</f>
        <v>0.97949760450712364</v>
      </c>
      <c r="E11">
        <f t="shared" ref="E11:M11" ca="1" si="0">RAND()</f>
        <v>0.97851070856793498</v>
      </c>
      <c r="F11">
        <f t="shared" ca="1" si="0"/>
        <v>0.26072088307953545</v>
      </c>
      <c r="G11">
        <f t="shared" ca="1" si="0"/>
        <v>0.82246370916072997</v>
      </c>
      <c r="H11">
        <f t="shared" ca="1" si="0"/>
        <v>0.52151697078854586</v>
      </c>
      <c r="I11">
        <f t="shared" ca="1" si="0"/>
        <v>0.69010880158300869</v>
      </c>
      <c r="J11">
        <f t="shared" ca="1" si="0"/>
        <v>0.8947885146179908</v>
      </c>
      <c r="K11">
        <f t="shared" ca="1" si="0"/>
        <v>0.97503998558880112</v>
      </c>
      <c r="L11">
        <f t="shared" ca="1" si="0"/>
        <v>0.40943081857514663</v>
      </c>
      <c r="M11">
        <f t="shared" ca="1" si="0"/>
        <v>0.71739824323616297</v>
      </c>
    </row>
    <row r="12" spans="1:13" x14ac:dyDescent="0.3">
      <c r="A12">
        <v>30</v>
      </c>
      <c r="B12">
        <v>50</v>
      </c>
      <c r="C12" t="s">
        <v>1</v>
      </c>
      <c r="D12">
        <f t="shared" ref="D12:M15" ca="1" si="1">RAND()</f>
        <v>0.40128520321145256</v>
      </c>
      <c r="E12">
        <f t="shared" ca="1" si="1"/>
        <v>9.7035190091035228E-2</v>
      </c>
      <c r="F12">
        <f t="shared" ca="1" si="1"/>
        <v>0.6549071858183928</v>
      </c>
      <c r="G12">
        <f t="shared" ca="1" si="1"/>
        <v>0.36708699514065368</v>
      </c>
      <c r="H12">
        <f t="shared" ca="1" si="1"/>
        <v>0.57072782173778724</v>
      </c>
      <c r="I12">
        <f t="shared" ca="1" si="1"/>
        <v>0.55518643053784422</v>
      </c>
      <c r="J12">
        <f t="shared" ca="1" si="1"/>
        <v>0.19382194778753858</v>
      </c>
      <c r="K12">
        <f t="shared" ca="1" si="1"/>
        <v>0.41456113105671433</v>
      </c>
      <c r="L12">
        <f t="shared" ca="1" si="1"/>
        <v>0.59711587540259115</v>
      </c>
      <c r="M12">
        <f t="shared" ca="1" si="1"/>
        <v>5.4523552537264486E-3</v>
      </c>
    </row>
    <row r="13" spans="1:13" x14ac:dyDescent="0.3">
      <c r="A13">
        <v>0.5</v>
      </c>
      <c r="B13">
        <v>3</v>
      </c>
      <c r="C13" t="s">
        <v>2</v>
      </c>
      <c r="D13">
        <f t="shared" ca="1" si="1"/>
        <v>0.34626279641830593</v>
      </c>
      <c r="E13">
        <f t="shared" ca="1" si="1"/>
        <v>0.43217357295785885</v>
      </c>
      <c r="F13">
        <f t="shared" ca="1" si="1"/>
        <v>0.97295886163794143</v>
      </c>
      <c r="G13">
        <f t="shared" ca="1" si="1"/>
        <v>0.12574665132336926</v>
      </c>
      <c r="H13">
        <f t="shared" ca="1" si="1"/>
        <v>0.23164880684851652</v>
      </c>
      <c r="I13">
        <f t="shared" ca="1" si="1"/>
        <v>0.99577487187921754</v>
      </c>
      <c r="J13">
        <f t="shared" ca="1" si="1"/>
        <v>0.44478374664494469</v>
      </c>
      <c r="K13">
        <f t="shared" ca="1" si="1"/>
        <v>0.10392149321134225</v>
      </c>
      <c r="L13">
        <f t="shared" ca="1" si="1"/>
        <v>0.87197441639410778</v>
      </c>
      <c r="M13">
        <f t="shared" ca="1" si="1"/>
        <v>0.65590121169741655</v>
      </c>
    </row>
    <row r="14" spans="1:13" x14ac:dyDescent="0.3">
      <c r="A14" t="s">
        <v>33</v>
      </c>
      <c r="B14" t="s">
        <v>34</v>
      </c>
      <c r="C14" t="s">
        <v>3</v>
      </c>
      <c r="D14">
        <f t="shared" ca="1" si="1"/>
        <v>0.52592669661229352</v>
      </c>
      <c r="E14">
        <f t="shared" ca="1" si="1"/>
        <v>0.2751336972519306</v>
      </c>
      <c r="F14">
        <f t="shared" ca="1" si="1"/>
        <v>0.46693275306542459</v>
      </c>
      <c r="G14">
        <f t="shared" ca="1" si="1"/>
        <v>2.3983772590612129E-2</v>
      </c>
      <c r="H14">
        <f t="shared" ca="1" si="1"/>
        <v>0.2487885344964651</v>
      </c>
      <c r="I14">
        <f t="shared" ca="1" si="1"/>
        <v>0.37474301139084387</v>
      </c>
      <c r="J14">
        <f t="shared" ca="1" si="1"/>
        <v>0.42279338658495957</v>
      </c>
      <c r="K14">
        <f t="shared" ca="1" si="1"/>
        <v>0.39610862681283365</v>
      </c>
      <c r="L14">
        <f t="shared" ca="1" si="1"/>
        <v>0.72406784018190984</v>
      </c>
      <c r="M14">
        <f t="shared" ca="1" si="1"/>
        <v>9.6755951709896482E-2</v>
      </c>
    </row>
    <row r="15" spans="1:13" x14ac:dyDescent="0.3">
      <c r="A15" t="s">
        <v>31</v>
      </c>
      <c r="B15" t="s">
        <v>32</v>
      </c>
      <c r="C15" t="s">
        <v>4</v>
      </c>
      <c r="D15">
        <f t="shared" ca="1" si="1"/>
        <v>0.70538123248137352</v>
      </c>
      <c r="E15">
        <f t="shared" ca="1" si="1"/>
        <v>0.3406857963950134</v>
      </c>
      <c r="F15">
        <f t="shared" ca="1" si="1"/>
        <v>0.35546714044000449</v>
      </c>
      <c r="G15">
        <f t="shared" ca="1" si="1"/>
        <v>0.52252489246876033</v>
      </c>
      <c r="H15">
        <f t="shared" ca="1" si="1"/>
        <v>0.14315788919142114</v>
      </c>
      <c r="I15">
        <f t="shared" ca="1" si="1"/>
        <v>0.79013717681784346</v>
      </c>
      <c r="J15">
        <f t="shared" ca="1" si="1"/>
        <v>0.32074234592623296</v>
      </c>
      <c r="K15">
        <f t="shared" ca="1" si="1"/>
        <v>0.20507302933569471</v>
      </c>
      <c r="L15">
        <f t="shared" ca="1" si="1"/>
        <v>0.58208397367017572</v>
      </c>
      <c r="M15">
        <f t="shared" ca="1" si="1"/>
        <v>0.5908904621468104</v>
      </c>
    </row>
    <row r="17" spans="3:13" x14ac:dyDescent="0.3">
      <c r="D17" s="2">
        <v>1</v>
      </c>
      <c r="E17" s="2">
        <v>2</v>
      </c>
      <c r="F17" s="2">
        <v>3</v>
      </c>
      <c r="G17" s="2">
        <v>4</v>
      </c>
      <c r="H17" s="2">
        <v>5</v>
      </c>
      <c r="I17" s="2">
        <v>6</v>
      </c>
      <c r="J17" s="2">
        <v>7</v>
      </c>
      <c r="K17" s="2">
        <v>8</v>
      </c>
      <c r="L17" s="2">
        <v>9</v>
      </c>
      <c r="M17" s="2">
        <v>10</v>
      </c>
    </row>
    <row r="18" spans="3:13" x14ac:dyDescent="0.3">
      <c r="C18" t="s">
        <v>0</v>
      </c>
      <c r="D18">
        <f ca="1">INT($A11+($B11-$A11)*D11)</f>
        <v>4907</v>
      </c>
      <c r="E18">
        <f t="shared" ref="E18:M18" ca="1" si="2">INT($A11+($B11-$A11)*E11)</f>
        <v>4903</v>
      </c>
      <c r="F18">
        <f t="shared" ca="1" si="2"/>
        <v>1673</v>
      </c>
      <c r="G18">
        <f t="shared" ca="1" si="2"/>
        <v>4201</v>
      </c>
      <c r="H18">
        <f t="shared" ca="1" si="2"/>
        <v>2846</v>
      </c>
      <c r="I18">
        <f t="shared" ca="1" si="2"/>
        <v>3605</v>
      </c>
      <c r="J18">
        <f t="shared" ca="1" si="2"/>
        <v>4526</v>
      </c>
      <c r="K18">
        <f t="shared" ca="1" si="2"/>
        <v>4887</v>
      </c>
      <c r="L18">
        <f t="shared" ca="1" si="2"/>
        <v>2342</v>
      </c>
      <c r="M18">
        <f t="shared" ca="1" si="2"/>
        <v>3728</v>
      </c>
    </row>
    <row r="19" spans="3:13" x14ac:dyDescent="0.3">
      <c r="C19" t="s">
        <v>1</v>
      </c>
      <c r="D19">
        <f ca="1">INT($A12+($B12-$A12)*D12)</f>
        <v>38</v>
      </c>
      <c r="E19">
        <f t="shared" ref="E19:M19" ca="1" si="3">INT($A12+($B12-$A12)*E12)</f>
        <v>31</v>
      </c>
      <c r="F19">
        <f t="shared" ca="1" si="3"/>
        <v>43</v>
      </c>
      <c r="G19">
        <f t="shared" ca="1" si="3"/>
        <v>37</v>
      </c>
      <c r="H19">
        <f t="shared" ca="1" si="3"/>
        <v>41</v>
      </c>
      <c r="I19">
        <f t="shared" ca="1" si="3"/>
        <v>41</v>
      </c>
      <c r="J19">
        <f t="shared" ca="1" si="3"/>
        <v>33</v>
      </c>
      <c r="K19">
        <f t="shared" ca="1" si="3"/>
        <v>38</v>
      </c>
      <c r="L19">
        <f t="shared" ca="1" si="3"/>
        <v>41</v>
      </c>
      <c r="M19">
        <f t="shared" ca="1" si="3"/>
        <v>30</v>
      </c>
    </row>
    <row r="20" spans="3:13" x14ac:dyDescent="0.3">
      <c r="C20" t="s">
        <v>2</v>
      </c>
      <c r="D20">
        <f ca="1">ROUNDUP($A13+($B13-$A13)*D13,1)</f>
        <v>1.4000000000000001</v>
      </c>
      <c r="E20">
        <f t="shared" ref="E20:M20" ca="1" si="4">ROUNDUP($A13+($B13-$A13)*E13,1)</f>
        <v>1.6</v>
      </c>
      <c r="F20">
        <f t="shared" ca="1" si="4"/>
        <v>3</v>
      </c>
      <c r="G20">
        <f t="shared" ca="1" si="4"/>
        <v>0.9</v>
      </c>
      <c r="H20">
        <f t="shared" ca="1" si="4"/>
        <v>1.1000000000000001</v>
      </c>
      <c r="I20">
        <f t="shared" ca="1" si="4"/>
        <v>3</v>
      </c>
      <c r="J20">
        <f t="shared" ca="1" si="4"/>
        <v>1.7000000000000002</v>
      </c>
      <c r="K20">
        <f t="shared" ca="1" si="4"/>
        <v>0.79999999999999993</v>
      </c>
      <c r="L20">
        <f t="shared" ca="1" si="4"/>
        <v>2.7</v>
      </c>
      <c r="M20">
        <f t="shared" ca="1" si="4"/>
        <v>2.2000000000000002</v>
      </c>
    </row>
    <row r="21" spans="3:13" x14ac:dyDescent="0.3">
      <c r="C21" t="s">
        <v>3</v>
      </c>
      <c r="D21">
        <f ca="1">ROUNDUP(D3*0.1 + 0.2*D3*D14,1)</f>
        <v>6.3999999999999995</v>
      </c>
      <c r="E21">
        <f t="shared" ref="E21:M21" ca="1" si="5">ROUNDUP(E3*0.1 + 0.2*E3*E14,1)</f>
        <v>7.1999999999999993</v>
      </c>
      <c r="F21">
        <f t="shared" ca="1" si="5"/>
        <v>9.2999999999999989</v>
      </c>
      <c r="G21">
        <f t="shared" ca="1" si="5"/>
        <v>3.4</v>
      </c>
      <c r="H21">
        <f t="shared" ca="1" si="5"/>
        <v>7.1999999999999993</v>
      </c>
      <c r="I21">
        <f t="shared" ca="1" si="5"/>
        <v>6</v>
      </c>
      <c r="J21">
        <f t="shared" ca="1" si="5"/>
        <v>8.4</v>
      </c>
      <c r="K21">
        <f t="shared" ca="1" si="5"/>
        <v>7.8999999999999995</v>
      </c>
      <c r="L21">
        <f t="shared" ca="1" si="5"/>
        <v>11.799999999999999</v>
      </c>
      <c r="M21">
        <f t="shared" ca="1" si="5"/>
        <v>5.8</v>
      </c>
    </row>
    <row r="22" spans="3:13" x14ac:dyDescent="0.3">
      <c r="C22" t="s">
        <v>4</v>
      </c>
      <c r="D22">
        <f ca="1">ROUNDUP(D4*1.2 + 0.8*D4*D15,1)</f>
        <v>2.3000000000000003</v>
      </c>
      <c r="E22">
        <f t="shared" ref="E22:M22" ca="1" si="6">ROUNDUP(E4*1.2 + 0.8*E4*E15,1)</f>
        <v>4.5</v>
      </c>
      <c r="F22">
        <f t="shared" ca="1" si="6"/>
        <v>2</v>
      </c>
      <c r="G22">
        <f t="shared" ca="1" si="6"/>
        <v>3.4</v>
      </c>
      <c r="H22">
        <f t="shared" ca="1" si="6"/>
        <v>3.6</v>
      </c>
      <c r="I22">
        <f t="shared" ca="1" si="6"/>
        <v>1.3</v>
      </c>
      <c r="J22">
        <f t="shared" ca="1" si="6"/>
        <v>3.4</v>
      </c>
      <c r="K22">
        <f t="shared" ca="1" si="6"/>
        <v>3.6</v>
      </c>
      <c r="L22">
        <f t="shared" ca="1" si="6"/>
        <v>4.1999999999999993</v>
      </c>
      <c r="M22">
        <f t="shared" ca="1" si="6"/>
        <v>5.0999999999999996</v>
      </c>
    </row>
    <row r="23" spans="3:13" x14ac:dyDescent="0.3">
      <c r="C23" t="s">
        <v>18</v>
      </c>
    </row>
    <row r="27" spans="3:13" x14ac:dyDescent="0.3">
      <c r="E27">
        <v>1</v>
      </c>
      <c r="F27">
        <v>1</v>
      </c>
      <c r="G27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3"/>
  <sheetViews>
    <sheetView workbookViewId="0"/>
  </sheetViews>
  <sheetFormatPr defaultColWidth="8.796875" defaultRowHeight="14.15" x14ac:dyDescent="0.3"/>
  <sheetData>
    <row r="3" spans="3:3" x14ac:dyDescent="0.3">
      <c r="C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LP</vt:lpstr>
      <vt:lpstr>T</vt:lpstr>
      <vt:lpstr>난수발생</vt:lpstr>
      <vt:lpstr>_PalUtilTempWorksheet</vt:lpstr>
    </vt:vector>
  </TitlesOfParts>
  <Company>부산대학교 산업공학과 생산시스템분석실험실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PSA_NOTEBOOK</dc:creator>
  <cp:lastModifiedBy>Kyungsu Kang</cp:lastModifiedBy>
  <dcterms:created xsi:type="dcterms:W3CDTF">2005-09-13T02:16:39Z</dcterms:created>
  <dcterms:modified xsi:type="dcterms:W3CDTF">2019-10-24T04:32:47Z</dcterms:modified>
</cp:coreProperties>
</file>